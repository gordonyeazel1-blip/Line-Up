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tirement 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Example value: $500,000</t>
        </r>
      </text>
    </comment>
    <comment ref="B6" authorId="0">
      <text>
        <r>
          <rPr>
            <sz val="10"/>
            <rFont val="Arial"/>
            <family val="2"/>
          </rPr>
          <t xml:space="preserve">Enter as a percent, e.g. 5%</t>
        </r>
      </text>
    </comment>
    <comment ref="B9" authorId="0">
      <text>
        <r>
          <rPr>
            <sz val="10"/>
            <rFont val="Arial"/>
            <family val="2"/>
          </rPr>
          <t xml:space="preserve">Each year the withdrawal rises by this percent to keep buying power. Enter 0% to keep it flat.</t>
        </r>
      </text>
    </comment>
  </commentList>
</comments>
</file>

<file path=xl/sharedStrings.xml><?xml version="1.0" encoding="utf-8"?>
<sst xmlns="http://schemas.openxmlformats.org/spreadsheetml/2006/main" count="23" uniqueCount="23">
  <si>
    <t xml:space="preserve">Retirement Savings Drawdown Calculator</t>
  </si>
  <si>
    <t xml:space="preserve">Edit only the yellow cells (blue text). Everything else updates automatically.</t>
  </si>
  <si>
    <t xml:space="preserve">YOUR INPUTS</t>
  </si>
  <si>
    <t xml:space="preserve">Starting balance (401k / savings)</t>
  </si>
  <si>
    <t xml:space="preserve">Annual interest rate</t>
  </si>
  <si>
    <t xml:space="preserve">Years you plan to withdraw</t>
  </si>
  <si>
    <t xml:space="preserve">Amount withdrawn in year 1</t>
  </si>
  <si>
    <t xml:space="preserve">Inflation (withdrawal grows each year)</t>
  </si>
  <si>
    <t xml:space="preserve">RESULTS</t>
  </si>
  <si>
    <t xml:space="preserve">How long the money lasts</t>
  </si>
  <si>
    <t xml:space="preserve">Year the money runs out</t>
  </si>
  <si>
    <t xml:space="preserve">Balance left after your planned years</t>
  </si>
  <si>
    <t xml:space="preserve">Total withdrawn during your planned years</t>
  </si>
  <si>
    <t xml:space="preserve">Total interest earned during your planned years</t>
  </si>
  <si>
    <t xml:space="preserve">Assumptions: interest compounds once a year on the starting balance; each withdrawal comes out at the end of the year and rises by the inflation rate each year. Taxes and fees are not included.</t>
  </si>
  <si>
    <t xml:space="preserve">Shaded rows below are your planned withdrawal years; the table keeps going so you can see when the money would run out.</t>
  </si>
  <si>
    <t xml:space="preserve">YEAR-BY-YEAR</t>
  </si>
  <si>
    <t xml:space="preserve">Year</t>
  </si>
  <si>
    <t xml:space="preserve">In Plan?</t>
  </si>
  <si>
    <t xml:space="preserve">Start Balance ($)</t>
  </si>
  <si>
    <t xml:space="preserve">Interest Earned ($)</t>
  </si>
  <si>
    <t xml:space="preserve">Withdrawal ($, with inflation)</t>
  </si>
  <si>
    <t xml:space="preserve">End Balance ($)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</si>
</sst>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"/>
    <numFmt numFmtId="167" formatCode="0"/>
    <numFmt numFmtId="168" formatCode="\$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DEBF7"/>
        </patternFill>
      </fill>
    </dxf>
    <dxf>
      <font>
        <color rgb="FFA6A6A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Account Balance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'Retirement Calculator'!F21</c:f>
              <c:strCache>
                <c:ptCount val="1"/>
                <c:pt idx="0">
                  <c:v>End Balance ($)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'Retirement Calculator'!$A$22:$A$71</c:f>
              <c:strCach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strCache>
            </c:strRef>
          </c:cat>
          <c:val>
            <c:numRef>
              <c:f>'Retirement Calculator'!$F$22:$F$71</c:f>
              <c:numCache>
                <c:formatCode>\$#,##0;"($"#,##0\);\-</c:formatCode>
                <c:ptCount val="50"/>
                <c:pt idx="0">
                  <c:v>495000</c:v>
                </c:pt>
                <c:pt idx="1">
                  <c:v>488850</c:v>
                </c:pt>
                <c:pt idx="2">
                  <c:v>481465.5</c:v>
                </c:pt>
                <c:pt idx="3">
                  <c:v>472756.965</c:v>
                </c:pt>
                <c:pt idx="4">
                  <c:v>462629.54895</c:v>
                </c:pt>
                <c:pt idx="5">
                  <c:v>450982.8041685</c:v>
                </c:pt>
                <c:pt idx="6">
                  <c:v>437710.375481055</c:v>
                </c:pt>
                <c:pt idx="7">
                  <c:v>422699.678292362</c:v>
                </c:pt>
                <c:pt idx="8">
                  <c:v>405831.559765351</c:v>
                </c:pt>
                <c:pt idx="9">
                  <c:v>386979.942238742</c:v>
                </c:pt>
                <c:pt idx="10">
                  <c:v>366011.447970355</c:v>
                </c:pt>
                <c:pt idx="11">
                  <c:v>342785.004247139</c:v>
                </c:pt>
                <c:pt idx="12">
                  <c:v>317151.427854111</c:v>
                </c:pt>
                <c:pt idx="13">
                  <c:v>288952.98784327</c:v>
                </c:pt>
                <c:pt idx="14">
                  <c:v>258022.94548978</c:v>
                </c:pt>
                <c:pt idx="15">
                  <c:v>224185.070266246</c:v>
                </c:pt>
                <c:pt idx="16">
                  <c:v>187253.130606594</c:v>
                </c:pt>
                <c:pt idx="17">
                  <c:v>147030.358168772</c:v>
                </c:pt>
                <c:pt idx="18">
                  <c:v>103308.884240013</c:v>
                </c:pt>
                <c:pt idx="19">
                  <c:v>55869.1468597005</c:v>
                </c:pt>
                <c:pt idx="20">
                  <c:v>4479.26716260312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4132309"/>
        <c:axId val="48968995"/>
      </c:lineChart>
      <c:catAx>
        <c:axId val="541323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68995"/>
        <c:crosses val="autoZero"/>
        <c:auto val="1"/>
        <c:lblAlgn val="ctr"/>
        <c:lblOffset val="100"/>
        <c:noMultiLvlLbl val="0"/>
      </c:catAx>
      <c:valAx>
        <c:axId val="489689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End-of-Year Balance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1323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131040</xdr:rowOff>
    </xdr:from>
    <xdr:to>
      <xdr:col>18</xdr:col>
      <xdr:colOff>473040</xdr:colOff>
      <xdr:row>20</xdr:row>
      <xdr:rowOff>301680</xdr:rowOff>
    </xdr:to>
    <xdr:graphicFrame>
      <xdr:nvGraphicFramePr>
        <xdr:cNvPr id="0" name="Chart 1"/>
        <xdr:cNvGraphicFramePr/>
      </xdr:nvGraphicFramePr>
      <xdr:xfrm>
        <a:off x="10902240" y="571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1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"/>
    <col collapsed="false" customWidth="true" hidden="false" outlineLevel="0" max="6" min="3" style="0" width="17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500000</v>
      </c>
    </row>
    <row r="6" customFormat="false" ht="15" hidden="false" customHeight="false" outlineLevel="0" collapsed="false">
      <c r="A6" s="4" t="s">
        <v>4</v>
      </c>
      <c r="B6" s="6" t="n">
        <v>0.05</v>
      </c>
    </row>
    <row r="7" customFormat="false" ht="15" hidden="false" customHeight="false" outlineLevel="0" collapsed="false">
      <c r="A7" s="4" t="s">
        <v>5</v>
      </c>
      <c r="B7" s="7" t="n">
        <v>10</v>
      </c>
    </row>
    <row r="8" customFormat="false" ht="15" hidden="false" customHeight="false" outlineLevel="0" collapsed="false">
      <c r="A8" s="4" t="s">
        <v>6</v>
      </c>
      <c r="B8" s="5" t="n">
        <v>30000</v>
      </c>
    </row>
    <row r="9" customFormat="false" ht="15" hidden="false" customHeight="false" outlineLevel="0" collapsed="false">
      <c r="A9" s="4" t="s">
        <v>7</v>
      </c>
      <c r="B9" s="6" t="n">
        <v>0.03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4" t="s">
        <v>9</v>
      </c>
      <c r="B12" s="8" t="str">
        <f aca="false">IFERROR(TEXT(MATCH(0,F22:F121,0)-1+INDEX(E22:E121,MATCH(0,F22:F121,0))/($B$8*(1+$B$9)^(MATCH(0,F22:F121,0)-1)),"0.0")&amp;" years","More than 100 years")</f>
        <v>21.1 years</v>
      </c>
    </row>
    <row r="13" customFormat="false" ht="15" hidden="false" customHeight="false" outlineLevel="0" collapsed="false">
      <c r="A13" s="4" t="s">
        <v>10</v>
      </c>
      <c r="B13" s="9" t="n">
        <f aca="false">IFERROR(INDEX(A22:A121,MATCH(0,F22:F121,0)),"Lasts beyond 100 years")</f>
        <v>22</v>
      </c>
    </row>
    <row r="14" customFormat="false" ht="15" hidden="false" customHeight="false" outlineLevel="0" collapsed="false">
      <c r="A14" s="4" t="s">
        <v>11</v>
      </c>
      <c r="B14" s="10" t="n">
        <f aca="false">IF(B7&gt;0,MAX(0,INDEX(F22:F121,B7)),B5)</f>
        <v>386979.942238742</v>
      </c>
    </row>
    <row r="15" customFormat="false" ht="15" hidden="false" customHeight="false" outlineLevel="0" collapsed="false">
      <c r="A15" s="4" t="s">
        <v>12</v>
      </c>
      <c r="B15" s="10" t="n">
        <f aca="false">IF(B7&gt;0,SUM(E22:INDEX(E22:E121,B7)),0)</f>
        <v>343916.379344122</v>
      </c>
    </row>
    <row r="16" customFormat="false" ht="15" hidden="false" customHeight="false" outlineLevel="0" collapsed="false">
      <c r="A16" s="4" t="s">
        <v>13</v>
      </c>
      <c r="B16" s="10" t="n">
        <f aca="false">IF(B7&gt;0,SUM(D22:INDEX(D22:D121,B7)),0)</f>
        <v>230896.321582863</v>
      </c>
    </row>
    <row r="17" customFormat="false" ht="15" hidden="false" customHeight="false" outlineLevel="0" collapsed="false">
      <c r="A17" s="11" t="s">
        <v>14</v>
      </c>
    </row>
    <row r="18" customFormat="false" ht="15" hidden="false" customHeight="false" outlineLevel="0" collapsed="false">
      <c r="A18" s="11" t="s">
        <v>15</v>
      </c>
    </row>
    <row r="20" customFormat="false" ht="15" hidden="false" customHeight="false" outlineLevel="0" collapsed="false">
      <c r="A20" s="3" t="s">
        <v>16</v>
      </c>
    </row>
    <row r="21" customFormat="false" ht="30" hidden="false" customHeight="true" outlineLevel="0" collapsed="false">
      <c r="A21" s="12" t="s">
        <v>17</v>
      </c>
      <c r="B21" s="12" t="s">
        <v>18</v>
      </c>
      <c r="C21" s="12" t="s">
        <v>19</v>
      </c>
      <c r="D21" s="12" t="s">
        <v>20</v>
      </c>
      <c r="E21" s="12" t="s">
        <v>21</v>
      </c>
      <c r="F21" s="12" t="s">
        <v>22</v>
      </c>
    </row>
    <row r="22" customFormat="false" ht="15" hidden="false" customHeight="false" outlineLevel="0" collapsed="false">
      <c r="A22" s="13" t="n">
        <v>1</v>
      </c>
      <c r="B22" s="13" t="str">
        <f aca="false">IF(A22&lt;=$B$7,"Yes","")</f>
        <v>Yes</v>
      </c>
      <c r="C22" s="14" t="n">
        <f aca="false">$B$5</f>
        <v>500000</v>
      </c>
      <c r="D22" s="14" t="n">
        <f aca="false">C22*$B$6</f>
        <v>25000</v>
      </c>
      <c r="E22" s="14" t="n">
        <f aca="false">MAX(0,MIN($B$8*(1+$B$9)^(A22-1),C22+D22))</f>
        <v>30000</v>
      </c>
      <c r="F22" s="14" t="n">
        <f aca="false">C22+D22-E22</f>
        <v>495000</v>
      </c>
    </row>
    <row r="23" customFormat="false" ht="15" hidden="false" customHeight="false" outlineLevel="0" collapsed="false">
      <c r="A23" s="13" t="n">
        <v>2</v>
      </c>
      <c r="B23" s="13" t="str">
        <f aca="false">IF(A23&lt;=$B$7,"Yes","")</f>
        <v>Yes</v>
      </c>
      <c r="C23" s="14" t="n">
        <f aca="false">F22</f>
        <v>495000</v>
      </c>
      <c r="D23" s="14" t="n">
        <f aca="false">C23*$B$6</f>
        <v>24750</v>
      </c>
      <c r="E23" s="14" t="n">
        <f aca="false">MAX(0,MIN($B$8*(1+$B$9)^(A23-1),C23+D23))</f>
        <v>30900</v>
      </c>
      <c r="F23" s="14" t="n">
        <f aca="false">C23+D23-E23</f>
        <v>488850</v>
      </c>
    </row>
    <row r="24" customFormat="false" ht="15" hidden="false" customHeight="false" outlineLevel="0" collapsed="false">
      <c r="A24" s="13" t="n">
        <v>3</v>
      </c>
      <c r="B24" s="13" t="str">
        <f aca="false">IF(A24&lt;=$B$7,"Yes","")</f>
        <v>Yes</v>
      </c>
      <c r="C24" s="14" t="n">
        <f aca="false">F23</f>
        <v>488850</v>
      </c>
      <c r="D24" s="14" t="n">
        <f aca="false">C24*$B$6</f>
        <v>24442.5</v>
      </c>
      <c r="E24" s="14" t="n">
        <f aca="false">MAX(0,MIN($B$8*(1+$B$9)^(A24-1),C24+D24))</f>
        <v>31827</v>
      </c>
      <c r="F24" s="14" t="n">
        <f aca="false">C24+D24-E24</f>
        <v>481465.5</v>
      </c>
    </row>
    <row r="25" customFormat="false" ht="15" hidden="false" customHeight="false" outlineLevel="0" collapsed="false">
      <c r="A25" s="13" t="n">
        <v>4</v>
      </c>
      <c r="B25" s="13" t="str">
        <f aca="false">IF(A25&lt;=$B$7,"Yes","")</f>
        <v>Yes</v>
      </c>
      <c r="C25" s="14" t="n">
        <f aca="false">F24</f>
        <v>481465.5</v>
      </c>
      <c r="D25" s="14" t="n">
        <f aca="false">C25*$B$6</f>
        <v>24073.275</v>
      </c>
      <c r="E25" s="14" t="n">
        <f aca="false">MAX(0,MIN($B$8*(1+$B$9)^(A25-1),C25+D25))</f>
        <v>32781.81</v>
      </c>
      <c r="F25" s="14" t="n">
        <f aca="false">C25+D25-E25</f>
        <v>472756.965</v>
      </c>
    </row>
    <row r="26" customFormat="false" ht="15" hidden="false" customHeight="false" outlineLevel="0" collapsed="false">
      <c r="A26" s="13" t="n">
        <v>5</v>
      </c>
      <c r="B26" s="13" t="str">
        <f aca="false">IF(A26&lt;=$B$7,"Yes","")</f>
        <v>Yes</v>
      </c>
      <c r="C26" s="14" t="n">
        <f aca="false">F25</f>
        <v>472756.965</v>
      </c>
      <c r="D26" s="14" t="n">
        <f aca="false">C26*$B$6</f>
        <v>23637.84825</v>
      </c>
      <c r="E26" s="14" t="n">
        <f aca="false">MAX(0,MIN($B$8*(1+$B$9)^(A26-1),C26+D26))</f>
        <v>33765.2643</v>
      </c>
      <c r="F26" s="14" t="n">
        <f aca="false">C26+D26-E26</f>
        <v>462629.54895</v>
      </c>
    </row>
    <row r="27" customFormat="false" ht="15" hidden="false" customHeight="false" outlineLevel="0" collapsed="false">
      <c r="A27" s="13" t="n">
        <v>6</v>
      </c>
      <c r="B27" s="13" t="str">
        <f aca="false">IF(A27&lt;=$B$7,"Yes","")</f>
        <v>Yes</v>
      </c>
      <c r="C27" s="14" t="n">
        <f aca="false">F26</f>
        <v>462629.54895</v>
      </c>
      <c r="D27" s="14" t="n">
        <f aca="false">C27*$B$6</f>
        <v>23131.4774475</v>
      </c>
      <c r="E27" s="14" t="n">
        <f aca="false">MAX(0,MIN($B$8*(1+$B$9)^(A27-1),C27+D27))</f>
        <v>34778.222229</v>
      </c>
      <c r="F27" s="14" t="n">
        <f aca="false">C27+D27-E27</f>
        <v>450982.8041685</v>
      </c>
    </row>
    <row r="28" customFormat="false" ht="15" hidden="false" customHeight="false" outlineLevel="0" collapsed="false">
      <c r="A28" s="13" t="n">
        <v>7</v>
      </c>
      <c r="B28" s="13" t="str">
        <f aca="false">IF(A28&lt;=$B$7,"Yes","")</f>
        <v>Yes</v>
      </c>
      <c r="C28" s="14" t="n">
        <f aca="false">F27</f>
        <v>450982.8041685</v>
      </c>
      <c r="D28" s="14" t="n">
        <f aca="false">C28*$B$6</f>
        <v>22549.140208425</v>
      </c>
      <c r="E28" s="14" t="n">
        <f aca="false">MAX(0,MIN($B$8*(1+$B$9)^(A28-1),C28+D28))</f>
        <v>35821.56889587</v>
      </c>
      <c r="F28" s="14" t="n">
        <f aca="false">C28+D28-E28</f>
        <v>437710.375481055</v>
      </c>
    </row>
    <row r="29" customFormat="false" ht="15" hidden="false" customHeight="false" outlineLevel="0" collapsed="false">
      <c r="A29" s="13" t="n">
        <v>8</v>
      </c>
      <c r="B29" s="13" t="str">
        <f aca="false">IF(A29&lt;=$B$7,"Yes","")</f>
        <v>Yes</v>
      </c>
      <c r="C29" s="14" t="n">
        <f aca="false">F28</f>
        <v>437710.375481055</v>
      </c>
      <c r="D29" s="14" t="n">
        <f aca="false">C29*$B$6</f>
        <v>21885.5187740528</v>
      </c>
      <c r="E29" s="14" t="n">
        <f aca="false">MAX(0,MIN($B$8*(1+$B$9)^(A29-1),C29+D29))</f>
        <v>36896.2159627461</v>
      </c>
      <c r="F29" s="14" t="n">
        <f aca="false">C29+D29-E29</f>
        <v>422699.678292362</v>
      </c>
    </row>
    <row r="30" customFormat="false" ht="15" hidden="false" customHeight="false" outlineLevel="0" collapsed="false">
      <c r="A30" s="13" t="n">
        <v>9</v>
      </c>
      <c r="B30" s="13" t="str">
        <f aca="false">IF(A30&lt;=$B$7,"Yes","")</f>
        <v>Yes</v>
      </c>
      <c r="C30" s="14" t="n">
        <f aca="false">F29</f>
        <v>422699.678292362</v>
      </c>
      <c r="D30" s="14" t="n">
        <f aca="false">C30*$B$6</f>
        <v>21134.9839146181</v>
      </c>
      <c r="E30" s="14" t="n">
        <f aca="false">MAX(0,MIN($B$8*(1+$B$9)^(A30-1),C30+D30))</f>
        <v>38003.1024416285</v>
      </c>
      <c r="F30" s="14" t="n">
        <f aca="false">C30+D30-E30</f>
        <v>405831.559765351</v>
      </c>
    </row>
    <row r="31" customFormat="false" ht="15" hidden="false" customHeight="false" outlineLevel="0" collapsed="false">
      <c r="A31" s="13" t="n">
        <v>10</v>
      </c>
      <c r="B31" s="13" t="str">
        <f aca="false">IF(A31&lt;=$B$7,"Yes","")</f>
        <v>Yes</v>
      </c>
      <c r="C31" s="14" t="n">
        <f aca="false">F30</f>
        <v>405831.559765351</v>
      </c>
      <c r="D31" s="14" t="n">
        <f aca="false">C31*$B$6</f>
        <v>20291.5779882676</v>
      </c>
      <c r="E31" s="14" t="n">
        <f aca="false">MAX(0,MIN($B$8*(1+$B$9)^(A31-1),C31+D31))</f>
        <v>39143.1955148774</v>
      </c>
      <c r="F31" s="14" t="n">
        <f aca="false">C31+D31-E31</f>
        <v>386979.942238742</v>
      </c>
    </row>
    <row r="32" customFormat="false" ht="15" hidden="false" customHeight="false" outlineLevel="0" collapsed="false">
      <c r="A32" s="13" t="n">
        <v>11</v>
      </c>
      <c r="B32" s="13" t="str">
        <f aca="false">IF(A32&lt;=$B$7,"Yes","")</f>
        <v/>
      </c>
      <c r="C32" s="14" t="n">
        <f aca="false">F31</f>
        <v>386979.942238742</v>
      </c>
      <c r="D32" s="14" t="n">
        <f aca="false">C32*$B$6</f>
        <v>19348.9971119371</v>
      </c>
      <c r="E32" s="14" t="n">
        <f aca="false">MAX(0,MIN($B$8*(1+$B$9)^(A32-1),C32+D32))</f>
        <v>40317.4913803237</v>
      </c>
      <c r="F32" s="14" t="n">
        <f aca="false">C32+D32-E32</f>
        <v>366011.447970355</v>
      </c>
    </row>
    <row r="33" customFormat="false" ht="15" hidden="false" customHeight="false" outlineLevel="0" collapsed="false">
      <c r="A33" s="13" t="n">
        <v>12</v>
      </c>
      <c r="B33" s="13" t="str">
        <f aca="false">IF(A33&lt;=$B$7,"Yes","")</f>
        <v/>
      </c>
      <c r="C33" s="14" t="n">
        <f aca="false">F32</f>
        <v>366011.447970355</v>
      </c>
      <c r="D33" s="14" t="n">
        <f aca="false">C33*$B$6</f>
        <v>18300.5723985177</v>
      </c>
      <c r="E33" s="14" t="n">
        <f aca="false">MAX(0,MIN($B$8*(1+$B$9)^(A33-1),C33+D33))</f>
        <v>41527.0161217334</v>
      </c>
      <c r="F33" s="14" t="n">
        <f aca="false">C33+D33-E33</f>
        <v>342785.004247139</v>
      </c>
    </row>
    <row r="34" customFormat="false" ht="15" hidden="false" customHeight="false" outlineLevel="0" collapsed="false">
      <c r="A34" s="13" t="n">
        <v>13</v>
      </c>
      <c r="B34" s="13" t="str">
        <f aca="false">IF(A34&lt;=$B$7,"Yes","")</f>
        <v/>
      </c>
      <c r="C34" s="14" t="n">
        <f aca="false">F33</f>
        <v>342785.004247139</v>
      </c>
      <c r="D34" s="14" t="n">
        <f aca="false">C34*$B$6</f>
        <v>17139.250212357</v>
      </c>
      <c r="E34" s="14" t="n">
        <f aca="false">MAX(0,MIN($B$8*(1+$B$9)^(A34-1),C34+D34))</f>
        <v>42772.8266053854</v>
      </c>
      <c r="F34" s="14" t="n">
        <f aca="false">C34+D34-E34</f>
        <v>317151.427854111</v>
      </c>
    </row>
    <row r="35" customFormat="false" ht="15" hidden="false" customHeight="false" outlineLevel="0" collapsed="false">
      <c r="A35" s="13" t="n">
        <v>14</v>
      </c>
      <c r="B35" s="13" t="str">
        <f aca="false">IF(A35&lt;=$B$7,"Yes","")</f>
        <v/>
      </c>
      <c r="C35" s="14" t="n">
        <f aca="false">F34</f>
        <v>317151.427854111</v>
      </c>
      <c r="D35" s="14" t="n">
        <f aca="false">C35*$B$6</f>
        <v>15857.5713927055</v>
      </c>
      <c r="E35" s="14" t="n">
        <f aca="false">MAX(0,MIN($B$8*(1+$B$9)^(A35-1),C35+D35))</f>
        <v>44056.0114035469</v>
      </c>
      <c r="F35" s="14" t="n">
        <f aca="false">C35+D35-E35</f>
        <v>288952.98784327</v>
      </c>
    </row>
    <row r="36" customFormat="false" ht="15" hidden="false" customHeight="false" outlineLevel="0" collapsed="false">
      <c r="A36" s="13" t="n">
        <v>15</v>
      </c>
      <c r="B36" s="13" t="str">
        <f aca="false">IF(A36&lt;=$B$7,"Yes","")</f>
        <v/>
      </c>
      <c r="C36" s="14" t="n">
        <f aca="false">F35</f>
        <v>288952.98784327</v>
      </c>
      <c r="D36" s="14" t="n">
        <f aca="false">C36*$B$6</f>
        <v>14447.6493921635</v>
      </c>
      <c r="E36" s="14" t="n">
        <f aca="false">MAX(0,MIN($B$8*(1+$B$9)^(A36-1),C36+D36))</f>
        <v>45377.6917456534</v>
      </c>
      <c r="F36" s="14" t="n">
        <f aca="false">C36+D36-E36</f>
        <v>258022.94548978</v>
      </c>
    </row>
    <row r="37" customFormat="false" ht="15" hidden="false" customHeight="false" outlineLevel="0" collapsed="false">
      <c r="A37" s="13" t="n">
        <v>16</v>
      </c>
      <c r="B37" s="13" t="str">
        <f aca="false">IF(A37&lt;=$B$7,"Yes","")</f>
        <v/>
      </c>
      <c r="C37" s="14" t="n">
        <f aca="false">F36</f>
        <v>258022.94548978</v>
      </c>
      <c r="D37" s="14" t="n">
        <f aca="false">C37*$B$6</f>
        <v>12901.147274489</v>
      </c>
      <c r="E37" s="14" t="n">
        <f aca="false">MAX(0,MIN($B$8*(1+$B$9)^(A37-1),C37+D37))</f>
        <v>46739.022498023</v>
      </c>
      <c r="F37" s="14" t="n">
        <f aca="false">C37+D37-E37</f>
        <v>224185.070266246</v>
      </c>
    </row>
    <row r="38" customFormat="false" ht="15" hidden="false" customHeight="false" outlineLevel="0" collapsed="false">
      <c r="A38" s="13" t="n">
        <v>17</v>
      </c>
      <c r="B38" s="13" t="str">
        <f aca="false">IF(A38&lt;=$B$7,"Yes","")</f>
        <v/>
      </c>
      <c r="C38" s="14" t="n">
        <f aca="false">F37</f>
        <v>224185.070266246</v>
      </c>
      <c r="D38" s="14" t="n">
        <f aca="false">C38*$B$6</f>
        <v>11209.2535133123</v>
      </c>
      <c r="E38" s="14" t="n">
        <f aca="false">MAX(0,MIN($B$8*(1+$B$9)^(A38-1),C38+D38))</f>
        <v>48141.1931729637</v>
      </c>
      <c r="F38" s="14" t="n">
        <f aca="false">C38+D38-E38</f>
        <v>187253.130606594</v>
      </c>
    </row>
    <row r="39" customFormat="false" ht="15" hidden="false" customHeight="false" outlineLevel="0" collapsed="false">
      <c r="A39" s="13" t="n">
        <v>18</v>
      </c>
      <c r="B39" s="13" t="str">
        <f aca="false">IF(A39&lt;=$B$7,"Yes","")</f>
        <v/>
      </c>
      <c r="C39" s="14" t="n">
        <f aca="false">F38</f>
        <v>187253.130606594</v>
      </c>
      <c r="D39" s="14" t="n">
        <f aca="false">C39*$B$6</f>
        <v>9362.65653032972</v>
      </c>
      <c r="E39" s="14" t="n">
        <f aca="false">MAX(0,MIN($B$8*(1+$B$9)^(A39-1),C39+D39))</f>
        <v>49585.4289681526</v>
      </c>
      <c r="F39" s="14" t="n">
        <f aca="false">C39+D39-E39</f>
        <v>147030.358168772</v>
      </c>
    </row>
    <row r="40" customFormat="false" ht="15" hidden="false" customHeight="false" outlineLevel="0" collapsed="false">
      <c r="A40" s="13" t="n">
        <v>19</v>
      </c>
      <c r="B40" s="13" t="str">
        <f aca="false">IF(A40&lt;=$B$7,"Yes","")</f>
        <v/>
      </c>
      <c r="C40" s="14" t="n">
        <f aca="false">F39</f>
        <v>147030.358168772</v>
      </c>
      <c r="D40" s="14" t="n">
        <f aca="false">C40*$B$6</f>
        <v>7351.51790843857</v>
      </c>
      <c r="E40" s="14" t="n">
        <f aca="false">MAX(0,MIN($B$8*(1+$B$9)^(A40-1),C40+D40))</f>
        <v>51072.9918371971</v>
      </c>
      <c r="F40" s="14" t="n">
        <f aca="false">C40+D40-E40</f>
        <v>103308.884240013</v>
      </c>
    </row>
    <row r="41" customFormat="false" ht="15" hidden="false" customHeight="false" outlineLevel="0" collapsed="false">
      <c r="A41" s="13" t="n">
        <v>20</v>
      </c>
      <c r="B41" s="13" t="str">
        <f aca="false">IF(A41&lt;=$B$7,"Yes","")</f>
        <v/>
      </c>
      <c r="C41" s="14" t="n">
        <f aca="false">F40</f>
        <v>103308.884240013</v>
      </c>
      <c r="D41" s="14" t="n">
        <f aca="false">C41*$B$6</f>
        <v>5165.44421200065</v>
      </c>
      <c r="E41" s="14" t="n">
        <f aca="false">MAX(0,MIN($B$8*(1+$B$9)^(A41-1),C41+D41))</f>
        <v>52605.1815923131</v>
      </c>
      <c r="F41" s="14" t="n">
        <f aca="false">C41+D41-E41</f>
        <v>55869.1468597005</v>
      </c>
    </row>
    <row r="42" customFormat="false" ht="15" hidden="false" customHeight="false" outlineLevel="0" collapsed="false">
      <c r="A42" s="13" t="n">
        <v>21</v>
      </c>
      <c r="B42" s="13" t="str">
        <f aca="false">IF(A42&lt;=$B$7,"Yes","")</f>
        <v/>
      </c>
      <c r="C42" s="14" t="n">
        <f aca="false">F41</f>
        <v>55869.1468597005</v>
      </c>
      <c r="D42" s="14" t="n">
        <f aca="false">C42*$B$6</f>
        <v>2793.45734298503</v>
      </c>
      <c r="E42" s="14" t="n">
        <f aca="false">MAX(0,MIN($B$8*(1+$B$9)^(A42-1),C42+D42))</f>
        <v>54183.3370400824</v>
      </c>
      <c r="F42" s="14" t="n">
        <f aca="false">C42+D42-E42</f>
        <v>4479.26716260312</v>
      </c>
    </row>
    <row r="43" customFormat="false" ht="15" hidden="false" customHeight="false" outlineLevel="0" collapsed="false">
      <c r="A43" s="13" t="n">
        <v>22</v>
      </c>
      <c r="B43" s="13" t="str">
        <f aca="false">IF(A43&lt;=$B$7,"Yes","")</f>
        <v/>
      </c>
      <c r="C43" s="14" t="n">
        <f aca="false">F42</f>
        <v>4479.26716260312</v>
      </c>
      <c r="D43" s="14" t="n">
        <f aca="false">C43*$B$6</f>
        <v>223.963358130156</v>
      </c>
      <c r="E43" s="14" t="n">
        <f aca="false">MAX(0,MIN($B$8*(1+$B$9)^(A43-1),C43+D43))</f>
        <v>4703.23052073327</v>
      </c>
      <c r="F43" s="14" t="n">
        <f aca="false">C43+D43-E43</f>
        <v>0</v>
      </c>
    </row>
    <row r="44" customFormat="false" ht="15" hidden="false" customHeight="false" outlineLevel="0" collapsed="false">
      <c r="A44" s="13" t="n">
        <v>23</v>
      </c>
      <c r="B44" s="13" t="str">
        <f aca="false">IF(A44&lt;=$B$7,"Yes","")</f>
        <v/>
      </c>
      <c r="C44" s="14" t="n">
        <f aca="false">F43</f>
        <v>0</v>
      </c>
      <c r="D44" s="14" t="n">
        <f aca="false">C44*$B$6</f>
        <v>0</v>
      </c>
      <c r="E44" s="14" t="n">
        <f aca="false">MAX(0,MIN($B$8*(1+$B$9)^(A44-1),C44+D44))</f>
        <v>0</v>
      </c>
      <c r="F44" s="14" t="n">
        <f aca="false">C44+D44-E44</f>
        <v>0</v>
      </c>
    </row>
    <row r="45" customFormat="false" ht="15" hidden="false" customHeight="false" outlineLevel="0" collapsed="false">
      <c r="A45" s="13" t="n">
        <v>24</v>
      </c>
      <c r="B45" s="13" t="str">
        <f aca="false">IF(A45&lt;=$B$7,"Yes","")</f>
        <v/>
      </c>
      <c r="C45" s="14" t="n">
        <f aca="false">F44</f>
        <v>0</v>
      </c>
      <c r="D45" s="14" t="n">
        <f aca="false">C45*$B$6</f>
        <v>0</v>
      </c>
      <c r="E45" s="14" t="n">
        <f aca="false">MAX(0,MIN($B$8*(1+$B$9)^(A45-1),C45+D45))</f>
        <v>0</v>
      </c>
      <c r="F45" s="14" t="n">
        <f aca="false">C45+D45-E45</f>
        <v>0</v>
      </c>
    </row>
    <row r="46" customFormat="false" ht="15" hidden="false" customHeight="false" outlineLevel="0" collapsed="false">
      <c r="A46" s="13" t="n">
        <v>25</v>
      </c>
      <c r="B46" s="13" t="str">
        <f aca="false">IF(A46&lt;=$B$7,"Yes","")</f>
        <v/>
      </c>
      <c r="C46" s="14" t="n">
        <f aca="false">F45</f>
        <v>0</v>
      </c>
      <c r="D46" s="14" t="n">
        <f aca="false">C46*$B$6</f>
        <v>0</v>
      </c>
      <c r="E46" s="14" t="n">
        <f aca="false">MAX(0,MIN($B$8*(1+$B$9)^(A46-1),C46+D46))</f>
        <v>0</v>
      </c>
      <c r="F46" s="14" t="n">
        <f aca="false">C46+D46-E46</f>
        <v>0</v>
      </c>
    </row>
    <row r="47" customFormat="false" ht="15" hidden="false" customHeight="false" outlineLevel="0" collapsed="false">
      <c r="A47" s="13" t="n">
        <v>26</v>
      </c>
      <c r="B47" s="13" t="str">
        <f aca="false">IF(A47&lt;=$B$7,"Yes","")</f>
        <v/>
      </c>
      <c r="C47" s="14" t="n">
        <f aca="false">F46</f>
        <v>0</v>
      </c>
      <c r="D47" s="14" t="n">
        <f aca="false">C47*$B$6</f>
        <v>0</v>
      </c>
      <c r="E47" s="14" t="n">
        <f aca="false">MAX(0,MIN($B$8*(1+$B$9)^(A47-1),C47+D47))</f>
        <v>0</v>
      </c>
      <c r="F47" s="14" t="n">
        <f aca="false">C47+D47-E47</f>
        <v>0</v>
      </c>
    </row>
    <row r="48" customFormat="false" ht="15" hidden="false" customHeight="false" outlineLevel="0" collapsed="false">
      <c r="A48" s="13" t="n">
        <v>27</v>
      </c>
      <c r="B48" s="13" t="str">
        <f aca="false">IF(A48&lt;=$B$7,"Yes","")</f>
        <v/>
      </c>
      <c r="C48" s="14" t="n">
        <f aca="false">F47</f>
        <v>0</v>
      </c>
      <c r="D48" s="14" t="n">
        <f aca="false">C48*$B$6</f>
        <v>0</v>
      </c>
      <c r="E48" s="14" t="n">
        <f aca="false">MAX(0,MIN($B$8*(1+$B$9)^(A48-1),C48+D48))</f>
        <v>0</v>
      </c>
      <c r="F48" s="14" t="n">
        <f aca="false">C48+D48-E48</f>
        <v>0</v>
      </c>
    </row>
    <row r="49" customFormat="false" ht="15" hidden="false" customHeight="false" outlineLevel="0" collapsed="false">
      <c r="A49" s="13" t="n">
        <v>28</v>
      </c>
      <c r="B49" s="13" t="str">
        <f aca="false">IF(A49&lt;=$B$7,"Yes","")</f>
        <v/>
      </c>
      <c r="C49" s="14" t="n">
        <f aca="false">F48</f>
        <v>0</v>
      </c>
      <c r="D49" s="14" t="n">
        <f aca="false">C49*$B$6</f>
        <v>0</v>
      </c>
      <c r="E49" s="14" t="n">
        <f aca="false">MAX(0,MIN($B$8*(1+$B$9)^(A49-1),C49+D49))</f>
        <v>0</v>
      </c>
      <c r="F49" s="14" t="n">
        <f aca="false">C49+D49-E49</f>
        <v>0</v>
      </c>
    </row>
    <row r="50" customFormat="false" ht="15" hidden="false" customHeight="false" outlineLevel="0" collapsed="false">
      <c r="A50" s="13" t="n">
        <v>29</v>
      </c>
      <c r="B50" s="13" t="str">
        <f aca="false">IF(A50&lt;=$B$7,"Yes","")</f>
        <v/>
      </c>
      <c r="C50" s="14" t="n">
        <f aca="false">F49</f>
        <v>0</v>
      </c>
      <c r="D50" s="14" t="n">
        <f aca="false">C50*$B$6</f>
        <v>0</v>
      </c>
      <c r="E50" s="14" t="n">
        <f aca="false">MAX(0,MIN($B$8*(1+$B$9)^(A50-1),C50+D50))</f>
        <v>0</v>
      </c>
      <c r="F50" s="14" t="n">
        <f aca="false">C50+D50-E50</f>
        <v>0</v>
      </c>
    </row>
    <row r="51" customFormat="false" ht="15" hidden="false" customHeight="false" outlineLevel="0" collapsed="false">
      <c r="A51" s="13" t="n">
        <v>30</v>
      </c>
      <c r="B51" s="13" t="str">
        <f aca="false">IF(A51&lt;=$B$7,"Yes","")</f>
        <v/>
      </c>
      <c r="C51" s="14" t="n">
        <f aca="false">F50</f>
        <v>0</v>
      </c>
      <c r="D51" s="14" t="n">
        <f aca="false">C51*$B$6</f>
        <v>0</v>
      </c>
      <c r="E51" s="14" t="n">
        <f aca="false">MAX(0,MIN($B$8*(1+$B$9)^(A51-1),C51+D51))</f>
        <v>0</v>
      </c>
      <c r="F51" s="14" t="n">
        <f aca="false">C51+D51-E51</f>
        <v>0</v>
      </c>
    </row>
    <row r="52" customFormat="false" ht="15" hidden="false" customHeight="false" outlineLevel="0" collapsed="false">
      <c r="A52" s="13" t="n">
        <v>31</v>
      </c>
      <c r="B52" s="13" t="str">
        <f aca="false">IF(A52&lt;=$B$7,"Yes","")</f>
        <v/>
      </c>
      <c r="C52" s="14" t="n">
        <f aca="false">F51</f>
        <v>0</v>
      </c>
      <c r="D52" s="14" t="n">
        <f aca="false">C52*$B$6</f>
        <v>0</v>
      </c>
      <c r="E52" s="14" t="n">
        <f aca="false">MAX(0,MIN($B$8*(1+$B$9)^(A52-1),C52+D52))</f>
        <v>0</v>
      </c>
      <c r="F52" s="14" t="n">
        <f aca="false">C52+D52-E52</f>
        <v>0</v>
      </c>
    </row>
    <row r="53" customFormat="false" ht="15" hidden="false" customHeight="false" outlineLevel="0" collapsed="false">
      <c r="A53" s="13" t="n">
        <v>32</v>
      </c>
      <c r="B53" s="13" t="str">
        <f aca="false">IF(A53&lt;=$B$7,"Yes","")</f>
        <v/>
      </c>
      <c r="C53" s="14" t="n">
        <f aca="false">F52</f>
        <v>0</v>
      </c>
      <c r="D53" s="14" t="n">
        <f aca="false">C53*$B$6</f>
        <v>0</v>
      </c>
      <c r="E53" s="14" t="n">
        <f aca="false">MAX(0,MIN($B$8*(1+$B$9)^(A53-1),C53+D53))</f>
        <v>0</v>
      </c>
      <c r="F53" s="14" t="n">
        <f aca="false">C53+D53-E53</f>
        <v>0</v>
      </c>
    </row>
    <row r="54" customFormat="false" ht="15" hidden="false" customHeight="false" outlineLevel="0" collapsed="false">
      <c r="A54" s="13" t="n">
        <v>33</v>
      </c>
      <c r="B54" s="13" t="str">
        <f aca="false">IF(A54&lt;=$B$7,"Yes","")</f>
        <v/>
      </c>
      <c r="C54" s="14" t="n">
        <f aca="false">F53</f>
        <v>0</v>
      </c>
      <c r="D54" s="14" t="n">
        <f aca="false">C54*$B$6</f>
        <v>0</v>
      </c>
      <c r="E54" s="14" t="n">
        <f aca="false">MAX(0,MIN($B$8*(1+$B$9)^(A54-1),C54+D54))</f>
        <v>0</v>
      </c>
      <c r="F54" s="14" t="n">
        <f aca="false">C54+D54-E54</f>
        <v>0</v>
      </c>
    </row>
    <row r="55" customFormat="false" ht="15" hidden="false" customHeight="false" outlineLevel="0" collapsed="false">
      <c r="A55" s="13" t="n">
        <v>34</v>
      </c>
      <c r="B55" s="13" t="str">
        <f aca="false">IF(A55&lt;=$B$7,"Yes","")</f>
        <v/>
      </c>
      <c r="C55" s="14" t="n">
        <f aca="false">F54</f>
        <v>0</v>
      </c>
      <c r="D55" s="14" t="n">
        <f aca="false">C55*$B$6</f>
        <v>0</v>
      </c>
      <c r="E55" s="14" t="n">
        <f aca="false">MAX(0,MIN($B$8*(1+$B$9)^(A55-1),C55+D55))</f>
        <v>0</v>
      </c>
      <c r="F55" s="14" t="n">
        <f aca="false">C55+D55-E55</f>
        <v>0</v>
      </c>
    </row>
    <row r="56" customFormat="false" ht="15" hidden="false" customHeight="false" outlineLevel="0" collapsed="false">
      <c r="A56" s="13" t="n">
        <v>35</v>
      </c>
      <c r="B56" s="13" t="str">
        <f aca="false">IF(A56&lt;=$B$7,"Yes","")</f>
        <v/>
      </c>
      <c r="C56" s="14" t="n">
        <f aca="false">F55</f>
        <v>0</v>
      </c>
      <c r="D56" s="14" t="n">
        <f aca="false">C56*$B$6</f>
        <v>0</v>
      </c>
      <c r="E56" s="14" t="n">
        <f aca="false">MAX(0,MIN($B$8*(1+$B$9)^(A56-1),C56+D56))</f>
        <v>0</v>
      </c>
      <c r="F56" s="14" t="n">
        <f aca="false">C56+D56-E56</f>
        <v>0</v>
      </c>
    </row>
    <row r="57" customFormat="false" ht="15" hidden="false" customHeight="false" outlineLevel="0" collapsed="false">
      <c r="A57" s="13" t="n">
        <v>36</v>
      </c>
      <c r="B57" s="13" t="str">
        <f aca="false">IF(A57&lt;=$B$7,"Yes","")</f>
        <v/>
      </c>
      <c r="C57" s="14" t="n">
        <f aca="false">F56</f>
        <v>0</v>
      </c>
      <c r="D57" s="14" t="n">
        <f aca="false">C57*$B$6</f>
        <v>0</v>
      </c>
      <c r="E57" s="14" t="n">
        <f aca="false">MAX(0,MIN($B$8*(1+$B$9)^(A57-1),C57+D57))</f>
        <v>0</v>
      </c>
      <c r="F57" s="14" t="n">
        <f aca="false">C57+D57-E57</f>
        <v>0</v>
      </c>
    </row>
    <row r="58" customFormat="false" ht="15" hidden="false" customHeight="false" outlineLevel="0" collapsed="false">
      <c r="A58" s="13" t="n">
        <v>37</v>
      </c>
      <c r="B58" s="13" t="str">
        <f aca="false">IF(A58&lt;=$B$7,"Yes","")</f>
        <v/>
      </c>
      <c r="C58" s="14" t="n">
        <f aca="false">F57</f>
        <v>0</v>
      </c>
      <c r="D58" s="14" t="n">
        <f aca="false">C58*$B$6</f>
        <v>0</v>
      </c>
      <c r="E58" s="14" t="n">
        <f aca="false">MAX(0,MIN($B$8*(1+$B$9)^(A58-1),C58+D58))</f>
        <v>0</v>
      </c>
      <c r="F58" s="14" t="n">
        <f aca="false">C58+D58-E58</f>
        <v>0</v>
      </c>
    </row>
    <row r="59" customFormat="false" ht="15" hidden="false" customHeight="false" outlineLevel="0" collapsed="false">
      <c r="A59" s="13" t="n">
        <v>38</v>
      </c>
      <c r="B59" s="13" t="str">
        <f aca="false">IF(A59&lt;=$B$7,"Yes","")</f>
        <v/>
      </c>
      <c r="C59" s="14" t="n">
        <f aca="false">F58</f>
        <v>0</v>
      </c>
      <c r="D59" s="14" t="n">
        <f aca="false">C59*$B$6</f>
        <v>0</v>
      </c>
      <c r="E59" s="14" t="n">
        <f aca="false">MAX(0,MIN($B$8*(1+$B$9)^(A59-1),C59+D59))</f>
        <v>0</v>
      </c>
      <c r="F59" s="14" t="n">
        <f aca="false">C59+D59-E59</f>
        <v>0</v>
      </c>
    </row>
    <row r="60" customFormat="false" ht="15" hidden="false" customHeight="false" outlineLevel="0" collapsed="false">
      <c r="A60" s="13" t="n">
        <v>39</v>
      </c>
      <c r="B60" s="13" t="str">
        <f aca="false">IF(A60&lt;=$B$7,"Yes","")</f>
        <v/>
      </c>
      <c r="C60" s="14" t="n">
        <f aca="false">F59</f>
        <v>0</v>
      </c>
      <c r="D60" s="14" t="n">
        <f aca="false">C60*$B$6</f>
        <v>0</v>
      </c>
      <c r="E60" s="14" t="n">
        <f aca="false">MAX(0,MIN($B$8*(1+$B$9)^(A60-1),C60+D60))</f>
        <v>0</v>
      </c>
      <c r="F60" s="14" t="n">
        <f aca="false">C60+D60-E60</f>
        <v>0</v>
      </c>
    </row>
    <row r="61" customFormat="false" ht="15" hidden="false" customHeight="false" outlineLevel="0" collapsed="false">
      <c r="A61" s="13" t="n">
        <v>40</v>
      </c>
      <c r="B61" s="13" t="str">
        <f aca="false">IF(A61&lt;=$B$7,"Yes","")</f>
        <v/>
      </c>
      <c r="C61" s="14" t="n">
        <f aca="false">F60</f>
        <v>0</v>
      </c>
      <c r="D61" s="14" t="n">
        <f aca="false">C61*$B$6</f>
        <v>0</v>
      </c>
      <c r="E61" s="14" t="n">
        <f aca="false">MAX(0,MIN($B$8*(1+$B$9)^(A61-1),C61+D61))</f>
        <v>0</v>
      </c>
      <c r="F61" s="14" t="n">
        <f aca="false">C61+D61-E61</f>
        <v>0</v>
      </c>
    </row>
    <row r="62" customFormat="false" ht="15" hidden="false" customHeight="false" outlineLevel="0" collapsed="false">
      <c r="A62" s="13" t="n">
        <v>41</v>
      </c>
      <c r="B62" s="13" t="str">
        <f aca="false">IF(A62&lt;=$B$7,"Yes","")</f>
        <v/>
      </c>
      <c r="C62" s="14" t="n">
        <f aca="false">F61</f>
        <v>0</v>
      </c>
      <c r="D62" s="14" t="n">
        <f aca="false">C62*$B$6</f>
        <v>0</v>
      </c>
      <c r="E62" s="14" t="n">
        <f aca="false">MAX(0,MIN($B$8*(1+$B$9)^(A62-1),C62+D62))</f>
        <v>0</v>
      </c>
      <c r="F62" s="14" t="n">
        <f aca="false">C62+D62-E62</f>
        <v>0</v>
      </c>
    </row>
    <row r="63" customFormat="false" ht="15" hidden="false" customHeight="false" outlineLevel="0" collapsed="false">
      <c r="A63" s="13" t="n">
        <v>42</v>
      </c>
      <c r="B63" s="13" t="str">
        <f aca="false">IF(A63&lt;=$B$7,"Yes","")</f>
        <v/>
      </c>
      <c r="C63" s="14" t="n">
        <f aca="false">F62</f>
        <v>0</v>
      </c>
      <c r="D63" s="14" t="n">
        <f aca="false">C63*$B$6</f>
        <v>0</v>
      </c>
      <c r="E63" s="14" t="n">
        <f aca="false">MAX(0,MIN($B$8*(1+$B$9)^(A63-1),C63+D63))</f>
        <v>0</v>
      </c>
      <c r="F63" s="14" t="n">
        <f aca="false">C63+D63-E63</f>
        <v>0</v>
      </c>
    </row>
    <row r="64" customFormat="false" ht="15" hidden="false" customHeight="false" outlineLevel="0" collapsed="false">
      <c r="A64" s="13" t="n">
        <v>43</v>
      </c>
      <c r="B64" s="13" t="str">
        <f aca="false">IF(A64&lt;=$B$7,"Yes","")</f>
        <v/>
      </c>
      <c r="C64" s="14" t="n">
        <f aca="false">F63</f>
        <v>0</v>
      </c>
      <c r="D64" s="14" t="n">
        <f aca="false">C64*$B$6</f>
        <v>0</v>
      </c>
      <c r="E64" s="14" t="n">
        <f aca="false">MAX(0,MIN($B$8*(1+$B$9)^(A64-1),C64+D64))</f>
        <v>0</v>
      </c>
      <c r="F64" s="14" t="n">
        <f aca="false">C64+D64-E64</f>
        <v>0</v>
      </c>
    </row>
    <row r="65" customFormat="false" ht="15" hidden="false" customHeight="false" outlineLevel="0" collapsed="false">
      <c r="A65" s="13" t="n">
        <v>44</v>
      </c>
      <c r="B65" s="13" t="str">
        <f aca="false">IF(A65&lt;=$B$7,"Yes","")</f>
        <v/>
      </c>
      <c r="C65" s="14" t="n">
        <f aca="false">F64</f>
        <v>0</v>
      </c>
      <c r="D65" s="14" t="n">
        <f aca="false">C65*$B$6</f>
        <v>0</v>
      </c>
      <c r="E65" s="14" t="n">
        <f aca="false">MAX(0,MIN($B$8*(1+$B$9)^(A65-1),C65+D65))</f>
        <v>0</v>
      </c>
      <c r="F65" s="14" t="n">
        <f aca="false">C65+D65-E65</f>
        <v>0</v>
      </c>
    </row>
    <row r="66" customFormat="false" ht="15" hidden="false" customHeight="false" outlineLevel="0" collapsed="false">
      <c r="A66" s="13" t="n">
        <v>45</v>
      </c>
      <c r="B66" s="13" t="str">
        <f aca="false">IF(A66&lt;=$B$7,"Yes","")</f>
        <v/>
      </c>
      <c r="C66" s="14" t="n">
        <f aca="false">F65</f>
        <v>0</v>
      </c>
      <c r="D66" s="14" t="n">
        <f aca="false">C66*$B$6</f>
        <v>0</v>
      </c>
      <c r="E66" s="14" t="n">
        <f aca="false">MAX(0,MIN($B$8*(1+$B$9)^(A66-1),C66+D66))</f>
        <v>0</v>
      </c>
      <c r="F66" s="14" t="n">
        <f aca="false">C66+D66-E66</f>
        <v>0</v>
      </c>
    </row>
    <row r="67" customFormat="false" ht="15" hidden="false" customHeight="false" outlineLevel="0" collapsed="false">
      <c r="A67" s="13" t="n">
        <v>46</v>
      </c>
      <c r="B67" s="13" t="str">
        <f aca="false">IF(A67&lt;=$B$7,"Yes","")</f>
        <v/>
      </c>
      <c r="C67" s="14" t="n">
        <f aca="false">F66</f>
        <v>0</v>
      </c>
      <c r="D67" s="14" t="n">
        <f aca="false">C67*$B$6</f>
        <v>0</v>
      </c>
      <c r="E67" s="14" t="n">
        <f aca="false">MAX(0,MIN($B$8*(1+$B$9)^(A67-1),C67+D67))</f>
        <v>0</v>
      </c>
      <c r="F67" s="14" t="n">
        <f aca="false">C67+D67-E67</f>
        <v>0</v>
      </c>
    </row>
    <row r="68" customFormat="false" ht="15" hidden="false" customHeight="false" outlineLevel="0" collapsed="false">
      <c r="A68" s="13" t="n">
        <v>47</v>
      </c>
      <c r="B68" s="13" t="str">
        <f aca="false">IF(A68&lt;=$B$7,"Yes","")</f>
        <v/>
      </c>
      <c r="C68" s="14" t="n">
        <f aca="false">F67</f>
        <v>0</v>
      </c>
      <c r="D68" s="14" t="n">
        <f aca="false">C68*$B$6</f>
        <v>0</v>
      </c>
      <c r="E68" s="14" t="n">
        <f aca="false">MAX(0,MIN($B$8*(1+$B$9)^(A68-1),C68+D68))</f>
        <v>0</v>
      </c>
      <c r="F68" s="14" t="n">
        <f aca="false">C68+D68-E68</f>
        <v>0</v>
      </c>
    </row>
    <row r="69" customFormat="false" ht="15" hidden="false" customHeight="false" outlineLevel="0" collapsed="false">
      <c r="A69" s="13" t="n">
        <v>48</v>
      </c>
      <c r="B69" s="13" t="str">
        <f aca="false">IF(A69&lt;=$B$7,"Yes","")</f>
        <v/>
      </c>
      <c r="C69" s="14" t="n">
        <f aca="false">F68</f>
        <v>0</v>
      </c>
      <c r="D69" s="14" t="n">
        <f aca="false">C69*$B$6</f>
        <v>0</v>
      </c>
      <c r="E69" s="14" t="n">
        <f aca="false">MAX(0,MIN($B$8*(1+$B$9)^(A69-1),C69+D69))</f>
        <v>0</v>
      </c>
      <c r="F69" s="14" t="n">
        <f aca="false">C69+D69-E69</f>
        <v>0</v>
      </c>
    </row>
    <row r="70" customFormat="false" ht="15" hidden="false" customHeight="false" outlineLevel="0" collapsed="false">
      <c r="A70" s="13" t="n">
        <v>49</v>
      </c>
      <c r="B70" s="13" t="str">
        <f aca="false">IF(A70&lt;=$B$7,"Yes","")</f>
        <v/>
      </c>
      <c r="C70" s="14" t="n">
        <f aca="false">F69</f>
        <v>0</v>
      </c>
      <c r="D70" s="14" t="n">
        <f aca="false">C70*$B$6</f>
        <v>0</v>
      </c>
      <c r="E70" s="14" t="n">
        <f aca="false">MAX(0,MIN($B$8*(1+$B$9)^(A70-1),C70+D70))</f>
        <v>0</v>
      </c>
      <c r="F70" s="14" t="n">
        <f aca="false">C70+D70-E70</f>
        <v>0</v>
      </c>
    </row>
    <row r="71" customFormat="false" ht="15" hidden="false" customHeight="false" outlineLevel="0" collapsed="false">
      <c r="A71" s="13" t="n">
        <v>50</v>
      </c>
      <c r="B71" s="13" t="str">
        <f aca="false">IF(A71&lt;=$B$7,"Yes","")</f>
        <v/>
      </c>
      <c r="C71" s="14" t="n">
        <f aca="false">F70</f>
        <v>0</v>
      </c>
      <c r="D71" s="14" t="n">
        <f aca="false">C71*$B$6</f>
        <v>0</v>
      </c>
      <c r="E71" s="14" t="n">
        <f aca="false">MAX(0,MIN($B$8*(1+$B$9)^(A71-1),C71+D71))</f>
        <v>0</v>
      </c>
      <c r="F71" s="14" t="n">
        <f aca="false">C71+D71-E71</f>
        <v>0</v>
      </c>
    </row>
    <row r="72" customFormat="false" ht="15" hidden="false" customHeight="false" outlineLevel="0" collapsed="false">
      <c r="A72" s="13" t="n">
        <v>51</v>
      </c>
      <c r="B72" s="13" t="str">
        <f aca="false">IF(A72&lt;=$B$7,"Yes","")</f>
        <v/>
      </c>
      <c r="C72" s="14" t="n">
        <f aca="false">F71</f>
        <v>0</v>
      </c>
      <c r="D72" s="14" t="n">
        <f aca="false">C72*$B$6</f>
        <v>0</v>
      </c>
      <c r="E72" s="14" t="n">
        <f aca="false">MAX(0,MIN($B$8*(1+$B$9)^(A72-1),C72+D72))</f>
        <v>0</v>
      </c>
      <c r="F72" s="14" t="n">
        <f aca="false">C72+D72-E72</f>
        <v>0</v>
      </c>
    </row>
    <row r="73" customFormat="false" ht="15" hidden="false" customHeight="false" outlineLevel="0" collapsed="false">
      <c r="A73" s="13" t="n">
        <v>52</v>
      </c>
      <c r="B73" s="13" t="str">
        <f aca="false">IF(A73&lt;=$B$7,"Yes","")</f>
        <v/>
      </c>
      <c r="C73" s="14" t="n">
        <f aca="false">F72</f>
        <v>0</v>
      </c>
      <c r="D73" s="14" t="n">
        <f aca="false">C73*$B$6</f>
        <v>0</v>
      </c>
      <c r="E73" s="14" t="n">
        <f aca="false">MAX(0,MIN($B$8*(1+$B$9)^(A73-1),C73+D73))</f>
        <v>0</v>
      </c>
      <c r="F73" s="14" t="n">
        <f aca="false">C73+D73-E73</f>
        <v>0</v>
      </c>
    </row>
    <row r="74" customFormat="false" ht="15" hidden="false" customHeight="false" outlineLevel="0" collapsed="false">
      <c r="A74" s="13" t="n">
        <v>53</v>
      </c>
      <c r="B74" s="13" t="str">
        <f aca="false">IF(A74&lt;=$B$7,"Yes","")</f>
        <v/>
      </c>
      <c r="C74" s="14" t="n">
        <f aca="false">F73</f>
        <v>0</v>
      </c>
      <c r="D74" s="14" t="n">
        <f aca="false">C74*$B$6</f>
        <v>0</v>
      </c>
      <c r="E74" s="14" t="n">
        <f aca="false">MAX(0,MIN($B$8*(1+$B$9)^(A74-1),C74+D74))</f>
        <v>0</v>
      </c>
      <c r="F74" s="14" t="n">
        <f aca="false">C74+D74-E74</f>
        <v>0</v>
      </c>
    </row>
    <row r="75" customFormat="false" ht="15" hidden="false" customHeight="false" outlineLevel="0" collapsed="false">
      <c r="A75" s="13" t="n">
        <v>54</v>
      </c>
      <c r="B75" s="13" t="str">
        <f aca="false">IF(A75&lt;=$B$7,"Yes","")</f>
        <v/>
      </c>
      <c r="C75" s="14" t="n">
        <f aca="false">F74</f>
        <v>0</v>
      </c>
      <c r="D75" s="14" t="n">
        <f aca="false">C75*$B$6</f>
        <v>0</v>
      </c>
      <c r="E75" s="14" t="n">
        <f aca="false">MAX(0,MIN($B$8*(1+$B$9)^(A75-1),C75+D75))</f>
        <v>0</v>
      </c>
      <c r="F75" s="14" t="n">
        <f aca="false">C75+D75-E75</f>
        <v>0</v>
      </c>
    </row>
    <row r="76" customFormat="false" ht="15" hidden="false" customHeight="false" outlineLevel="0" collapsed="false">
      <c r="A76" s="13" t="n">
        <v>55</v>
      </c>
      <c r="B76" s="13" t="str">
        <f aca="false">IF(A76&lt;=$B$7,"Yes","")</f>
        <v/>
      </c>
      <c r="C76" s="14" t="n">
        <f aca="false">F75</f>
        <v>0</v>
      </c>
      <c r="D76" s="14" t="n">
        <f aca="false">C76*$B$6</f>
        <v>0</v>
      </c>
      <c r="E76" s="14" t="n">
        <f aca="false">MAX(0,MIN($B$8*(1+$B$9)^(A76-1),C76+D76))</f>
        <v>0</v>
      </c>
      <c r="F76" s="14" t="n">
        <f aca="false">C76+D76-E76</f>
        <v>0</v>
      </c>
    </row>
    <row r="77" customFormat="false" ht="15" hidden="false" customHeight="false" outlineLevel="0" collapsed="false">
      <c r="A77" s="13" t="n">
        <v>56</v>
      </c>
      <c r="B77" s="13" t="str">
        <f aca="false">IF(A77&lt;=$B$7,"Yes","")</f>
        <v/>
      </c>
      <c r="C77" s="14" t="n">
        <f aca="false">F76</f>
        <v>0</v>
      </c>
      <c r="D77" s="14" t="n">
        <f aca="false">C77*$B$6</f>
        <v>0</v>
      </c>
      <c r="E77" s="14" t="n">
        <f aca="false">MAX(0,MIN($B$8*(1+$B$9)^(A77-1),C77+D77))</f>
        <v>0</v>
      </c>
      <c r="F77" s="14" t="n">
        <f aca="false">C77+D77-E77</f>
        <v>0</v>
      </c>
    </row>
    <row r="78" customFormat="false" ht="15" hidden="false" customHeight="false" outlineLevel="0" collapsed="false">
      <c r="A78" s="13" t="n">
        <v>57</v>
      </c>
      <c r="B78" s="13" t="str">
        <f aca="false">IF(A78&lt;=$B$7,"Yes","")</f>
        <v/>
      </c>
      <c r="C78" s="14" t="n">
        <f aca="false">F77</f>
        <v>0</v>
      </c>
      <c r="D78" s="14" t="n">
        <f aca="false">C78*$B$6</f>
        <v>0</v>
      </c>
      <c r="E78" s="14" t="n">
        <f aca="false">MAX(0,MIN($B$8*(1+$B$9)^(A78-1),C78+D78))</f>
        <v>0</v>
      </c>
      <c r="F78" s="14" t="n">
        <f aca="false">C78+D78-E78</f>
        <v>0</v>
      </c>
    </row>
    <row r="79" customFormat="false" ht="15" hidden="false" customHeight="false" outlineLevel="0" collapsed="false">
      <c r="A79" s="13" t="n">
        <v>58</v>
      </c>
      <c r="B79" s="13" t="str">
        <f aca="false">IF(A79&lt;=$B$7,"Yes","")</f>
        <v/>
      </c>
      <c r="C79" s="14" t="n">
        <f aca="false">F78</f>
        <v>0</v>
      </c>
      <c r="D79" s="14" t="n">
        <f aca="false">C79*$B$6</f>
        <v>0</v>
      </c>
      <c r="E79" s="14" t="n">
        <f aca="false">MAX(0,MIN($B$8*(1+$B$9)^(A79-1),C79+D79))</f>
        <v>0</v>
      </c>
      <c r="F79" s="14" t="n">
        <f aca="false">C79+D79-E79</f>
        <v>0</v>
      </c>
    </row>
    <row r="80" customFormat="false" ht="15" hidden="false" customHeight="false" outlineLevel="0" collapsed="false">
      <c r="A80" s="13" t="n">
        <v>59</v>
      </c>
      <c r="B80" s="13" t="str">
        <f aca="false">IF(A80&lt;=$B$7,"Yes","")</f>
        <v/>
      </c>
      <c r="C80" s="14" t="n">
        <f aca="false">F79</f>
        <v>0</v>
      </c>
      <c r="D80" s="14" t="n">
        <f aca="false">C80*$B$6</f>
        <v>0</v>
      </c>
      <c r="E80" s="14" t="n">
        <f aca="false">MAX(0,MIN($B$8*(1+$B$9)^(A80-1),C80+D80))</f>
        <v>0</v>
      </c>
      <c r="F80" s="14" t="n">
        <f aca="false">C80+D80-E80</f>
        <v>0</v>
      </c>
    </row>
    <row r="81" customFormat="false" ht="15" hidden="false" customHeight="false" outlineLevel="0" collapsed="false">
      <c r="A81" s="13" t="n">
        <v>60</v>
      </c>
      <c r="B81" s="13" t="str">
        <f aca="false">IF(A81&lt;=$B$7,"Yes","")</f>
        <v/>
      </c>
      <c r="C81" s="14" t="n">
        <f aca="false">F80</f>
        <v>0</v>
      </c>
      <c r="D81" s="14" t="n">
        <f aca="false">C81*$B$6</f>
        <v>0</v>
      </c>
      <c r="E81" s="14" t="n">
        <f aca="false">MAX(0,MIN($B$8*(1+$B$9)^(A81-1),C81+D81))</f>
        <v>0</v>
      </c>
      <c r="F81" s="14" t="n">
        <f aca="false">C81+D81-E81</f>
        <v>0</v>
      </c>
    </row>
    <row r="82" customFormat="false" ht="15" hidden="false" customHeight="false" outlineLevel="0" collapsed="false">
      <c r="A82" s="13" t="n">
        <v>61</v>
      </c>
      <c r="B82" s="13" t="str">
        <f aca="false">IF(A82&lt;=$B$7,"Yes","")</f>
        <v/>
      </c>
      <c r="C82" s="14" t="n">
        <f aca="false">F81</f>
        <v>0</v>
      </c>
      <c r="D82" s="14" t="n">
        <f aca="false">C82*$B$6</f>
        <v>0</v>
      </c>
      <c r="E82" s="14" t="n">
        <f aca="false">MAX(0,MIN($B$8*(1+$B$9)^(A82-1),C82+D82))</f>
        <v>0</v>
      </c>
      <c r="F82" s="14" t="n">
        <f aca="false">C82+D82-E82</f>
        <v>0</v>
      </c>
    </row>
    <row r="83" customFormat="false" ht="15" hidden="false" customHeight="false" outlineLevel="0" collapsed="false">
      <c r="A83" s="13" t="n">
        <v>62</v>
      </c>
      <c r="B83" s="13" t="str">
        <f aca="false">IF(A83&lt;=$B$7,"Yes","")</f>
        <v/>
      </c>
      <c r="C83" s="14" t="n">
        <f aca="false">F82</f>
        <v>0</v>
      </c>
      <c r="D83" s="14" t="n">
        <f aca="false">C83*$B$6</f>
        <v>0</v>
      </c>
      <c r="E83" s="14" t="n">
        <f aca="false">MAX(0,MIN($B$8*(1+$B$9)^(A83-1),C83+D83))</f>
        <v>0</v>
      </c>
      <c r="F83" s="14" t="n">
        <f aca="false">C83+D83-E83</f>
        <v>0</v>
      </c>
    </row>
    <row r="84" customFormat="false" ht="15" hidden="false" customHeight="false" outlineLevel="0" collapsed="false">
      <c r="A84" s="13" t="n">
        <v>63</v>
      </c>
      <c r="B84" s="13" t="str">
        <f aca="false">IF(A84&lt;=$B$7,"Yes","")</f>
        <v/>
      </c>
      <c r="C84" s="14" t="n">
        <f aca="false">F83</f>
        <v>0</v>
      </c>
      <c r="D84" s="14" t="n">
        <f aca="false">C84*$B$6</f>
        <v>0</v>
      </c>
      <c r="E84" s="14" t="n">
        <f aca="false">MAX(0,MIN($B$8*(1+$B$9)^(A84-1),C84+D84))</f>
        <v>0</v>
      </c>
      <c r="F84" s="14" t="n">
        <f aca="false">C84+D84-E84</f>
        <v>0</v>
      </c>
    </row>
    <row r="85" customFormat="false" ht="15" hidden="false" customHeight="false" outlineLevel="0" collapsed="false">
      <c r="A85" s="13" t="n">
        <v>64</v>
      </c>
      <c r="B85" s="13" t="str">
        <f aca="false">IF(A85&lt;=$B$7,"Yes","")</f>
        <v/>
      </c>
      <c r="C85" s="14" t="n">
        <f aca="false">F84</f>
        <v>0</v>
      </c>
      <c r="D85" s="14" t="n">
        <f aca="false">C85*$B$6</f>
        <v>0</v>
      </c>
      <c r="E85" s="14" t="n">
        <f aca="false">MAX(0,MIN($B$8*(1+$B$9)^(A85-1),C85+D85))</f>
        <v>0</v>
      </c>
      <c r="F85" s="14" t="n">
        <f aca="false">C85+D85-E85</f>
        <v>0</v>
      </c>
    </row>
    <row r="86" customFormat="false" ht="15" hidden="false" customHeight="false" outlineLevel="0" collapsed="false">
      <c r="A86" s="13" t="n">
        <v>65</v>
      </c>
      <c r="B86" s="13" t="str">
        <f aca="false">IF(A86&lt;=$B$7,"Yes","")</f>
        <v/>
      </c>
      <c r="C86" s="14" t="n">
        <f aca="false">F85</f>
        <v>0</v>
      </c>
      <c r="D86" s="14" t="n">
        <f aca="false">C86*$B$6</f>
        <v>0</v>
      </c>
      <c r="E86" s="14" t="n">
        <f aca="false">MAX(0,MIN($B$8*(1+$B$9)^(A86-1),C86+D86))</f>
        <v>0</v>
      </c>
      <c r="F86" s="14" t="n">
        <f aca="false">C86+D86-E86</f>
        <v>0</v>
      </c>
    </row>
    <row r="87" customFormat="false" ht="15" hidden="false" customHeight="false" outlineLevel="0" collapsed="false">
      <c r="A87" s="13" t="n">
        <v>66</v>
      </c>
      <c r="B87" s="13" t="str">
        <f aca="false">IF(A87&lt;=$B$7,"Yes","")</f>
        <v/>
      </c>
      <c r="C87" s="14" t="n">
        <f aca="false">F86</f>
        <v>0</v>
      </c>
      <c r="D87" s="14" t="n">
        <f aca="false">C87*$B$6</f>
        <v>0</v>
      </c>
      <c r="E87" s="14" t="n">
        <f aca="false">MAX(0,MIN($B$8*(1+$B$9)^(A87-1),C87+D87))</f>
        <v>0</v>
      </c>
      <c r="F87" s="14" t="n">
        <f aca="false">C87+D87-E87</f>
        <v>0</v>
      </c>
    </row>
    <row r="88" customFormat="false" ht="15" hidden="false" customHeight="false" outlineLevel="0" collapsed="false">
      <c r="A88" s="13" t="n">
        <v>67</v>
      </c>
      <c r="B88" s="13" t="str">
        <f aca="false">IF(A88&lt;=$B$7,"Yes","")</f>
        <v/>
      </c>
      <c r="C88" s="14" t="n">
        <f aca="false">F87</f>
        <v>0</v>
      </c>
      <c r="D88" s="14" t="n">
        <f aca="false">C88*$B$6</f>
        <v>0</v>
      </c>
      <c r="E88" s="14" t="n">
        <f aca="false">MAX(0,MIN($B$8*(1+$B$9)^(A88-1),C88+D88))</f>
        <v>0</v>
      </c>
      <c r="F88" s="14" t="n">
        <f aca="false">C88+D88-E88</f>
        <v>0</v>
      </c>
    </row>
    <row r="89" customFormat="false" ht="15" hidden="false" customHeight="false" outlineLevel="0" collapsed="false">
      <c r="A89" s="13" t="n">
        <v>68</v>
      </c>
      <c r="B89" s="13" t="str">
        <f aca="false">IF(A89&lt;=$B$7,"Yes","")</f>
        <v/>
      </c>
      <c r="C89" s="14" t="n">
        <f aca="false">F88</f>
        <v>0</v>
      </c>
      <c r="D89" s="14" t="n">
        <f aca="false">C89*$B$6</f>
        <v>0</v>
      </c>
      <c r="E89" s="14" t="n">
        <f aca="false">MAX(0,MIN($B$8*(1+$B$9)^(A89-1),C89+D89))</f>
        <v>0</v>
      </c>
      <c r="F89" s="14" t="n">
        <f aca="false">C89+D89-E89</f>
        <v>0</v>
      </c>
    </row>
    <row r="90" customFormat="false" ht="15" hidden="false" customHeight="false" outlineLevel="0" collapsed="false">
      <c r="A90" s="13" t="n">
        <v>69</v>
      </c>
      <c r="B90" s="13" t="str">
        <f aca="false">IF(A90&lt;=$B$7,"Yes","")</f>
        <v/>
      </c>
      <c r="C90" s="14" t="n">
        <f aca="false">F89</f>
        <v>0</v>
      </c>
      <c r="D90" s="14" t="n">
        <f aca="false">C90*$B$6</f>
        <v>0</v>
      </c>
      <c r="E90" s="14" t="n">
        <f aca="false">MAX(0,MIN($B$8*(1+$B$9)^(A90-1),C90+D90))</f>
        <v>0</v>
      </c>
      <c r="F90" s="14" t="n">
        <f aca="false">C90+D90-E90</f>
        <v>0</v>
      </c>
    </row>
    <row r="91" customFormat="false" ht="15" hidden="false" customHeight="false" outlineLevel="0" collapsed="false">
      <c r="A91" s="13" t="n">
        <v>70</v>
      </c>
      <c r="B91" s="13" t="str">
        <f aca="false">IF(A91&lt;=$B$7,"Yes","")</f>
        <v/>
      </c>
      <c r="C91" s="14" t="n">
        <f aca="false">F90</f>
        <v>0</v>
      </c>
      <c r="D91" s="14" t="n">
        <f aca="false">C91*$B$6</f>
        <v>0</v>
      </c>
      <c r="E91" s="14" t="n">
        <f aca="false">MAX(0,MIN($B$8*(1+$B$9)^(A91-1),C91+D91))</f>
        <v>0</v>
      </c>
      <c r="F91" s="14" t="n">
        <f aca="false">C91+D91-E91</f>
        <v>0</v>
      </c>
    </row>
    <row r="92" customFormat="false" ht="15" hidden="false" customHeight="false" outlineLevel="0" collapsed="false">
      <c r="A92" s="13" t="n">
        <v>71</v>
      </c>
      <c r="B92" s="13" t="str">
        <f aca="false">IF(A92&lt;=$B$7,"Yes","")</f>
        <v/>
      </c>
      <c r="C92" s="14" t="n">
        <f aca="false">F91</f>
        <v>0</v>
      </c>
      <c r="D92" s="14" t="n">
        <f aca="false">C92*$B$6</f>
        <v>0</v>
      </c>
      <c r="E92" s="14" t="n">
        <f aca="false">MAX(0,MIN($B$8*(1+$B$9)^(A92-1),C92+D92))</f>
        <v>0</v>
      </c>
      <c r="F92" s="14" t="n">
        <f aca="false">C92+D92-E92</f>
        <v>0</v>
      </c>
    </row>
    <row r="93" customFormat="false" ht="15" hidden="false" customHeight="false" outlineLevel="0" collapsed="false">
      <c r="A93" s="13" t="n">
        <v>72</v>
      </c>
      <c r="B93" s="13" t="str">
        <f aca="false">IF(A93&lt;=$B$7,"Yes","")</f>
        <v/>
      </c>
      <c r="C93" s="14" t="n">
        <f aca="false">F92</f>
        <v>0</v>
      </c>
      <c r="D93" s="14" t="n">
        <f aca="false">C93*$B$6</f>
        <v>0</v>
      </c>
      <c r="E93" s="14" t="n">
        <f aca="false">MAX(0,MIN($B$8*(1+$B$9)^(A93-1),C93+D93))</f>
        <v>0</v>
      </c>
      <c r="F93" s="14" t="n">
        <f aca="false">C93+D93-E93</f>
        <v>0</v>
      </c>
    </row>
    <row r="94" customFormat="false" ht="15" hidden="false" customHeight="false" outlineLevel="0" collapsed="false">
      <c r="A94" s="13" t="n">
        <v>73</v>
      </c>
      <c r="B94" s="13" t="str">
        <f aca="false">IF(A94&lt;=$B$7,"Yes","")</f>
        <v/>
      </c>
      <c r="C94" s="14" t="n">
        <f aca="false">F93</f>
        <v>0</v>
      </c>
      <c r="D94" s="14" t="n">
        <f aca="false">C94*$B$6</f>
        <v>0</v>
      </c>
      <c r="E94" s="14" t="n">
        <f aca="false">MAX(0,MIN($B$8*(1+$B$9)^(A94-1),C94+D94))</f>
        <v>0</v>
      </c>
      <c r="F94" s="14" t="n">
        <f aca="false">C94+D94-E94</f>
        <v>0</v>
      </c>
    </row>
    <row r="95" customFormat="false" ht="15" hidden="false" customHeight="false" outlineLevel="0" collapsed="false">
      <c r="A95" s="13" t="n">
        <v>74</v>
      </c>
      <c r="B95" s="13" t="str">
        <f aca="false">IF(A95&lt;=$B$7,"Yes","")</f>
        <v/>
      </c>
      <c r="C95" s="14" t="n">
        <f aca="false">F94</f>
        <v>0</v>
      </c>
      <c r="D95" s="14" t="n">
        <f aca="false">C95*$B$6</f>
        <v>0</v>
      </c>
      <c r="E95" s="14" t="n">
        <f aca="false">MAX(0,MIN($B$8*(1+$B$9)^(A95-1),C95+D95))</f>
        <v>0</v>
      </c>
      <c r="F95" s="14" t="n">
        <f aca="false">C95+D95-E95</f>
        <v>0</v>
      </c>
    </row>
    <row r="96" customFormat="false" ht="15" hidden="false" customHeight="false" outlineLevel="0" collapsed="false">
      <c r="A96" s="13" t="n">
        <v>75</v>
      </c>
      <c r="B96" s="13" t="str">
        <f aca="false">IF(A96&lt;=$B$7,"Yes","")</f>
        <v/>
      </c>
      <c r="C96" s="14" t="n">
        <f aca="false">F95</f>
        <v>0</v>
      </c>
      <c r="D96" s="14" t="n">
        <f aca="false">C96*$B$6</f>
        <v>0</v>
      </c>
      <c r="E96" s="14" t="n">
        <f aca="false">MAX(0,MIN($B$8*(1+$B$9)^(A96-1),C96+D96))</f>
        <v>0</v>
      </c>
      <c r="F96" s="14" t="n">
        <f aca="false">C96+D96-E96</f>
        <v>0</v>
      </c>
    </row>
    <row r="97" customFormat="false" ht="15" hidden="false" customHeight="false" outlineLevel="0" collapsed="false">
      <c r="A97" s="13" t="n">
        <v>76</v>
      </c>
      <c r="B97" s="13" t="str">
        <f aca="false">IF(A97&lt;=$B$7,"Yes","")</f>
        <v/>
      </c>
      <c r="C97" s="14" t="n">
        <f aca="false">F96</f>
        <v>0</v>
      </c>
      <c r="D97" s="14" t="n">
        <f aca="false">C97*$B$6</f>
        <v>0</v>
      </c>
      <c r="E97" s="14" t="n">
        <f aca="false">MAX(0,MIN($B$8*(1+$B$9)^(A97-1),C97+D97))</f>
        <v>0</v>
      </c>
      <c r="F97" s="14" t="n">
        <f aca="false">C97+D97-E97</f>
        <v>0</v>
      </c>
    </row>
    <row r="98" customFormat="false" ht="15" hidden="false" customHeight="false" outlineLevel="0" collapsed="false">
      <c r="A98" s="13" t="n">
        <v>77</v>
      </c>
      <c r="B98" s="13" t="str">
        <f aca="false">IF(A98&lt;=$B$7,"Yes","")</f>
        <v/>
      </c>
      <c r="C98" s="14" t="n">
        <f aca="false">F97</f>
        <v>0</v>
      </c>
      <c r="D98" s="14" t="n">
        <f aca="false">C98*$B$6</f>
        <v>0</v>
      </c>
      <c r="E98" s="14" t="n">
        <f aca="false">MAX(0,MIN($B$8*(1+$B$9)^(A98-1),C98+D98))</f>
        <v>0</v>
      </c>
      <c r="F98" s="14" t="n">
        <f aca="false">C98+D98-E98</f>
        <v>0</v>
      </c>
    </row>
    <row r="99" customFormat="false" ht="15" hidden="false" customHeight="false" outlineLevel="0" collapsed="false">
      <c r="A99" s="13" t="n">
        <v>78</v>
      </c>
      <c r="B99" s="13" t="str">
        <f aca="false">IF(A99&lt;=$B$7,"Yes","")</f>
        <v/>
      </c>
      <c r="C99" s="14" t="n">
        <f aca="false">F98</f>
        <v>0</v>
      </c>
      <c r="D99" s="14" t="n">
        <f aca="false">C99*$B$6</f>
        <v>0</v>
      </c>
      <c r="E99" s="14" t="n">
        <f aca="false">MAX(0,MIN($B$8*(1+$B$9)^(A99-1),C99+D99))</f>
        <v>0</v>
      </c>
      <c r="F99" s="14" t="n">
        <f aca="false">C99+D99-E99</f>
        <v>0</v>
      </c>
    </row>
    <row r="100" customFormat="false" ht="15" hidden="false" customHeight="false" outlineLevel="0" collapsed="false">
      <c r="A100" s="13" t="n">
        <v>79</v>
      </c>
      <c r="B100" s="13" t="str">
        <f aca="false">IF(A100&lt;=$B$7,"Yes","")</f>
        <v/>
      </c>
      <c r="C100" s="14" t="n">
        <f aca="false">F99</f>
        <v>0</v>
      </c>
      <c r="D100" s="14" t="n">
        <f aca="false">C100*$B$6</f>
        <v>0</v>
      </c>
      <c r="E100" s="14" t="n">
        <f aca="false">MAX(0,MIN($B$8*(1+$B$9)^(A100-1),C100+D100))</f>
        <v>0</v>
      </c>
      <c r="F100" s="14" t="n">
        <f aca="false">C100+D100-E100</f>
        <v>0</v>
      </c>
    </row>
    <row r="101" customFormat="false" ht="15" hidden="false" customHeight="false" outlineLevel="0" collapsed="false">
      <c r="A101" s="13" t="n">
        <v>80</v>
      </c>
      <c r="B101" s="13" t="str">
        <f aca="false">IF(A101&lt;=$B$7,"Yes","")</f>
        <v/>
      </c>
      <c r="C101" s="14" t="n">
        <f aca="false">F100</f>
        <v>0</v>
      </c>
      <c r="D101" s="14" t="n">
        <f aca="false">C101*$B$6</f>
        <v>0</v>
      </c>
      <c r="E101" s="14" t="n">
        <f aca="false">MAX(0,MIN($B$8*(1+$B$9)^(A101-1),C101+D101))</f>
        <v>0</v>
      </c>
      <c r="F101" s="14" t="n">
        <f aca="false">C101+D101-E101</f>
        <v>0</v>
      </c>
    </row>
    <row r="102" customFormat="false" ht="15" hidden="false" customHeight="false" outlineLevel="0" collapsed="false">
      <c r="A102" s="13" t="n">
        <v>81</v>
      </c>
      <c r="B102" s="13" t="str">
        <f aca="false">IF(A102&lt;=$B$7,"Yes","")</f>
        <v/>
      </c>
      <c r="C102" s="14" t="n">
        <f aca="false">F101</f>
        <v>0</v>
      </c>
      <c r="D102" s="14" t="n">
        <f aca="false">C102*$B$6</f>
        <v>0</v>
      </c>
      <c r="E102" s="14" t="n">
        <f aca="false">MAX(0,MIN($B$8*(1+$B$9)^(A102-1),C102+D102))</f>
        <v>0</v>
      </c>
      <c r="F102" s="14" t="n">
        <f aca="false">C102+D102-E102</f>
        <v>0</v>
      </c>
    </row>
    <row r="103" customFormat="false" ht="15" hidden="false" customHeight="false" outlineLevel="0" collapsed="false">
      <c r="A103" s="13" t="n">
        <v>82</v>
      </c>
      <c r="B103" s="13" t="str">
        <f aca="false">IF(A103&lt;=$B$7,"Yes","")</f>
        <v/>
      </c>
      <c r="C103" s="14" t="n">
        <f aca="false">F102</f>
        <v>0</v>
      </c>
      <c r="D103" s="14" t="n">
        <f aca="false">C103*$B$6</f>
        <v>0</v>
      </c>
      <c r="E103" s="14" t="n">
        <f aca="false">MAX(0,MIN($B$8*(1+$B$9)^(A103-1),C103+D103))</f>
        <v>0</v>
      </c>
      <c r="F103" s="14" t="n">
        <f aca="false">C103+D103-E103</f>
        <v>0</v>
      </c>
    </row>
    <row r="104" customFormat="false" ht="15" hidden="false" customHeight="false" outlineLevel="0" collapsed="false">
      <c r="A104" s="13" t="n">
        <v>83</v>
      </c>
      <c r="B104" s="13" t="str">
        <f aca="false">IF(A104&lt;=$B$7,"Yes","")</f>
        <v/>
      </c>
      <c r="C104" s="14" t="n">
        <f aca="false">F103</f>
        <v>0</v>
      </c>
      <c r="D104" s="14" t="n">
        <f aca="false">C104*$B$6</f>
        <v>0</v>
      </c>
      <c r="E104" s="14" t="n">
        <f aca="false">MAX(0,MIN($B$8*(1+$B$9)^(A104-1),C104+D104))</f>
        <v>0</v>
      </c>
      <c r="F104" s="14" t="n">
        <f aca="false">C104+D104-E104</f>
        <v>0</v>
      </c>
    </row>
    <row r="105" customFormat="false" ht="15" hidden="false" customHeight="false" outlineLevel="0" collapsed="false">
      <c r="A105" s="13" t="n">
        <v>84</v>
      </c>
      <c r="B105" s="13" t="str">
        <f aca="false">IF(A105&lt;=$B$7,"Yes","")</f>
        <v/>
      </c>
      <c r="C105" s="14" t="n">
        <f aca="false">F104</f>
        <v>0</v>
      </c>
      <c r="D105" s="14" t="n">
        <f aca="false">C105*$B$6</f>
        <v>0</v>
      </c>
      <c r="E105" s="14" t="n">
        <f aca="false">MAX(0,MIN($B$8*(1+$B$9)^(A105-1),C105+D105))</f>
        <v>0</v>
      </c>
      <c r="F105" s="14" t="n">
        <f aca="false">C105+D105-E105</f>
        <v>0</v>
      </c>
    </row>
    <row r="106" customFormat="false" ht="15" hidden="false" customHeight="false" outlineLevel="0" collapsed="false">
      <c r="A106" s="13" t="n">
        <v>85</v>
      </c>
      <c r="B106" s="13" t="str">
        <f aca="false">IF(A106&lt;=$B$7,"Yes","")</f>
        <v/>
      </c>
      <c r="C106" s="14" t="n">
        <f aca="false">F105</f>
        <v>0</v>
      </c>
      <c r="D106" s="14" t="n">
        <f aca="false">C106*$B$6</f>
        <v>0</v>
      </c>
      <c r="E106" s="14" t="n">
        <f aca="false">MAX(0,MIN($B$8*(1+$B$9)^(A106-1),C106+D106))</f>
        <v>0</v>
      </c>
      <c r="F106" s="14" t="n">
        <f aca="false">C106+D106-E106</f>
        <v>0</v>
      </c>
    </row>
    <row r="107" customFormat="false" ht="15" hidden="false" customHeight="false" outlineLevel="0" collapsed="false">
      <c r="A107" s="13" t="n">
        <v>86</v>
      </c>
      <c r="B107" s="13" t="str">
        <f aca="false">IF(A107&lt;=$B$7,"Yes","")</f>
        <v/>
      </c>
      <c r="C107" s="14" t="n">
        <f aca="false">F106</f>
        <v>0</v>
      </c>
      <c r="D107" s="14" t="n">
        <f aca="false">C107*$B$6</f>
        <v>0</v>
      </c>
      <c r="E107" s="14" t="n">
        <f aca="false">MAX(0,MIN($B$8*(1+$B$9)^(A107-1),C107+D107))</f>
        <v>0</v>
      </c>
      <c r="F107" s="14" t="n">
        <f aca="false">C107+D107-E107</f>
        <v>0</v>
      </c>
    </row>
    <row r="108" customFormat="false" ht="15" hidden="false" customHeight="false" outlineLevel="0" collapsed="false">
      <c r="A108" s="13" t="n">
        <v>87</v>
      </c>
      <c r="B108" s="13" t="str">
        <f aca="false">IF(A108&lt;=$B$7,"Yes","")</f>
        <v/>
      </c>
      <c r="C108" s="14" t="n">
        <f aca="false">F107</f>
        <v>0</v>
      </c>
      <c r="D108" s="14" t="n">
        <f aca="false">C108*$B$6</f>
        <v>0</v>
      </c>
      <c r="E108" s="14" t="n">
        <f aca="false">MAX(0,MIN($B$8*(1+$B$9)^(A108-1),C108+D108))</f>
        <v>0</v>
      </c>
      <c r="F108" s="14" t="n">
        <f aca="false">C108+D108-E108</f>
        <v>0</v>
      </c>
    </row>
    <row r="109" customFormat="false" ht="15" hidden="false" customHeight="false" outlineLevel="0" collapsed="false">
      <c r="A109" s="13" t="n">
        <v>88</v>
      </c>
      <c r="B109" s="13" t="str">
        <f aca="false">IF(A109&lt;=$B$7,"Yes","")</f>
        <v/>
      </c>
      <c r="C109" s="14" t="n">
        <f aca="false">F108</f>
        <v>0</v>
      </c>
      <c r="D109" s="14" t="n">
        <f aca="false">C109*$B$6</f>
        <v>0</v>
      </c>
      <c r="E109" s="14" t="n">
        <f aca="false">MAX(0,MIN($B$8*(1+$B$9)^(A109-1),C109+D109))</f>
        <v>0</v>
      </c>
      <c r="F109" s="14" t="n">
        <f aca="false">C109+D109-E109</f>
        <v>0</v>
      </c>
    </row>
    <row r="110" customFormat="false" ht="15" hidden="false" customHeight="false" outlineLevel="0" collapsed="false">
      <c r="A110" s="13" t="n">
        <v>89</v>
      </c>
      <c r="B110" s="13" t="str">
        <f aca="false">IF(A110&lt;=$B$7,"Yes","")</f>
        <v/>
      </c>
      <c r="C110" s="14" t="n">
        <f aca="false">F109</f>
        <v>0</v>
      </c>
      <c r="D110" s="14" t="n">
        <f aca="false">C110*$B$6</f>
        <v>0</v>
      </c>
      <c r="E110" s="14" t="n">
        <f aca="false">MAX(0,MIN($B$8*(1+$B$9)^(A110-1),C110+D110))</f>
        <v>0</v>
      </c>
      <c r="F110" s="14" t="n">
        <f aca="false">C110+D110-E110</f>
        <v>0</v>
      </c>
    </row>
    <row r="111" customFormat="false" ht="15" hidden="false" customHeight="false" outlineLevel="0" collapsed="false">
      <c r="A111" s="13" t="n">
        <v>90</v>
      </c>
      <c r="B111" s="13" t="str">
        <f aca="false">IF(A111&lt;=$B$7,"Yes","")</f>
        <v/>
      </c>
      <c r="C111" s="14" t="n">
        <f aca="false">F110</f>
        <v>0</v>
      </c>
      <c r="D111" s="14" t="n">
        <f aca="false">C111*$B$6</f>
        <v>0</v>
      </c>
      <c r="E111" s="14" t="n">
        <f aca="false">MAX(0,MIN($B$8*(1+$B$9)^(A111-1),C111+D111))</f>
        <v>0</v>
      </c>
      <c r="F111" s="14" t="n">
        <f aca="false">C111+D111-E111</f>
        <v>0</v>
      </c>
    </row>
    <row r="112" customFormat="false" ht="15" hidden="false" customHeight="false" outlineLevel="0" collapsed="false">
      <c r="A112" s="13" t="n">
        <v>91</v>
      </c>
      <c r="B112" s="13" t="str">
        <f aca="false">IF(A112&lt;=$B$7,"Yes","")</f>
        <v/>
      </c>
      <c r="C112" s="14" t="n">
        <f aca="false">F111</f>
        <v>0</v>
      </c>
      <c r="D112" s="14" t="n">
        <f aca="false">C112*$B$6</f>
        <v>0</v>
      </c>
      <c r="E112" s="14" t="n">
        <f aca="false">MAX(0,MIN($B$8*(1+$B$9)^(A112-1),C112+D112))</f>
        <v>0</v>
      </c>
      <c r="F112" s="14" t="n">
        <f aca="false">C112+D112-E112</f>
        <v>0</v>
      </c>
    </row>
    <row r="113" customFormat="false" ht="15" hidden="false" customHeight="false" outlineLevel="0" collapsed="false">
      <c r="A113" s="13" t="n">
        <v>92</v>
      </c>
      <c r="B113" s="13" t="str">
        <f aca="false">IF(A113&lt;=$B$7,"Yes","")</f>
        <v/>
      </c>
      <c r="C113" s="14" t="n">
        <f aca="false">F112</f>
        <v>0</v>
      </c>
      <c r="D113" s="14" t="n">
        <f aca="false">C113*$B$6</f>
        <v>0</v>
      </c>
      <c r="E113" s="14" t="n">
        <f aca="false">MAX(0,MIN($B$8*(1+$B$9)^(A113-1),C113+D113))</f>
        <v>0</v>
      </c>
      <c r="F113" s="14" t="n">
        <f aca="false">C113+D113-E113</f>
        <v>0</v>
      </c>
    </row>
    <row r="114" customFormat="false" ht="15" hidden="false" customHeight="false" outlineLevel="0" collapsed="false">
      <c r="A114" s="13" t="n">
        <v>93</v>
      </c>
      <c r="B114" s="13" t="str">
        <f aca="false">IF(A114&lt;=$B$7,"Yes","")</f>
        <v/>
      </c>
      <c r="C114" s="14" t="n">
        <f aca="false">F113</f>
        <v>0</v>
      </c>
      <c r="D114" s="14" t="n">
        <f aca="false">C114*$B$6</f>
        <v>0</v>
      </c>
      <c r="E114" s="14" t="n">
        <f aca="false">MAX(0,MIN($B$8*(1+$B$9)^(A114-1),C114+D114))</f>
        <v>0</v>
      </c>
      <c r="F114" s="14" t="n">
        <f aca="false">C114+D114-E114</f>
        <v>0</v>
      </c>
    </row>
    <row r="115" customFormat="false" ht="15" hidden="false" customHeight="false" outlineLevel="0" collapsed="false">
      <c r="A115" s="13" t="n">
        <v>94</v>
      </c>
      <c r="B115" s="13" t="str">
        <f aca="false">IF(A115&lt;=$B$7,"Yes","")</f>
        <v/>
      </c>
      <c r="C115" s="14" t="n">
        <f aca="false">F114</f>
        <v>0</v>
      </c>
      <c r="D115" s="14" t="n">
        <f aca="false">C115*$B$6</f>
        <v>0</v>
      </c>
      <c r="E115" s="14" t="n">
        <f aca="false">MAX(0,MIN($B$8*(1+$B$9)^(A115-1),C115+D115))</f>
        <v>0</v>
      </c>
      <c r="F115" s="14" t="n">
        <f aca="false">C115+D115-E115</f>
        <v>0</v>
      </c>
    </row>
    <row r="116" customFormat="false" ht="15" hidden="false" customHeight="false" outlineLevel="0" collapsed="false">
      <c r="A116" s="13" t="n">
        <v>95</v>
      </c>
      <c r="B116" s="13" t="str">
        <f aca="false">IF(A116&lt;=$B$7,"Yes","")</f>
        <v/>
      </c>
      <c r="C116" s="14" t="n">
        <f aca="false">F115</f>
        <v>0</v>
      </c>
      <c r="D116" s="14" t="n">
        <f aca="false">C116*$B$6</f>
        <v>0</v>
      </c>
      <c r="E116" s="14" t="n">
        <f aca="false">MAX(0,MIN($B$8*(1+$B$9)^(A116-1),C116+D116))</f>
        <v>0</v>
      </c>
      <c r="F116" s="14" t="n">
        <f aca="false">C116+D116-E116</f>
        <v>0</v>
      </c>
    </row>
    <row r="117" customFormat="false" ht="15" hidden="false" customHeight="false" outlineLevel="0" collapsed="false">
      <c r="A117" s="13" t="n">
        <v>96</v>
      </c>
      <c r="B117" s="13" t="str">
        <f aca="false">IF(A117&lt;=$B$7,"Yes","")</f>
        <v/>
      </c>
      <c r="C117" s="14" t="n">
        <f aca="false">F116</f>
        <v>0</v>
      </c>
      <c r="D117" s="14" t="n">
        <f aca="false">C117*$B$6</f>
        <v>0</v>
      </c>
      <c r="E117" s="14" t="n">
        <f aca="false">MAX(0,MIN($B$8*(1+$B$9)^(A117-1),C117+D117))</f>
        <v>0</v>
      </c>
      <c r="F117" s="14" t="n">
        <f aca="false">C117+D117-E117</f>
        <v>0</v>
      </c>
    </row>
    <row r="118" customFormat="false" ht="15" hidden="false" customHeight="false" outlineLevel="0" collapsed="false">
      <c r="A118" s="13" t="n">
        <v>97</v>
      </c>
      <c r="B118" s="13" t="str">
        <f aca="false">IF(A118&lt;=$B$7,"Yes","")</f>
        <v/>
      </c>
      <c r="C118" s="14" t="n">
        <f aca="false">F117</f>
        <v>0</v>
      </c>
      <c r="D118" s="14" t="n">
        <f aca="false">C118*$B$6</f>
        <v>0</v>
      </c>
      <c r="E118" s="14" t="n">
        <f aca="false">MAX(0,MIN($B$8*(1+$B$9)^(A118-1),C118+D118))</f>
        <v>0</v>
      </c>
      <c r="F118" s="14" t="n">
        <f aca="false">C118+D118-E118</f>
        <v>0</v>
      </c>
    </row>
    <row r="119" customFormat="false" ht="15" hidden="false" customHeight="false" outlineLevel="0" collapsed="false">
      <c r="A119" s="13" t="n">
        <v>98</v>
      </c>
      <c r="B119" s="13" t="str">
        <f aca="false">IF(A119&lt;=$B$7,"Yes","")</f>
        <v/>
      </c>
      <c r="C119" s="14" t="n">
        <f aca="false">F118</f>
        <v>0</v>
      </c>
      <c r="D119" s="14" t="n">
        <f aca="false">C119*$B$6</f>
        <v>0</v>
      </c>
      <c r="E119" s="14" t="n">
        <f aca="false">MAX(0,MIN($B$8*(1+$B$9)^(A119-1),C119+D119))</f>
        <v>0</v>
      </c>
      <c r="F119" s="14" t="n">
        <f aca="false">C119+D119-E119</f>
        <v>0</v>
      </c>
    </row>
    <row r="120" customFormat="false" ht="15" hidden="false" customHeight="false" outlineLevel="0" collapsed="false">
      <c r="A120" s="13" t="n">
        <v>99</v>
      </c>
      <c r="B120" s="13" t="str">
        <f aca="false">IF(A120&lt;=$B$7,"Yes","")</f>
        <v/>
      </c>
      <c r="C120" s="14" t="n">
        <f aca="false">F119</f>
        <v>0</v>
      </c>
      <c r="D120" s="14" t="n">
        <f aca="false">C120*$B$6</f>
        <v>0</v>
      </c>
      <c r="E120" s="14" t="n">
        <f aca="false">MAX(0,MIN($B$8*(1+$B$9)^(A120-1),C120+D120))</f>
        <v>0</v>
      </c>
      <c r="F120" s="14" t="n">
        <f aca="false">C120+D120-E120</f>
        <v>0</v>
      </c>
    </row>
    <row r="121" customFormat="false" ht="15" hidden="false" customHeight="false" outlineLevel="0" collapsed="false">
      <c r="A121" s="13" t="n">
        <v>100</v>
      </c>
      <c r="B121" s="13" t="str">
        <f aca="false">IF(A121&lt;=$B$7,"Yes","")</f>
        <v/>
      </c>
      <c r="C121" s="14" t="n">
        <f aca="false">F120</f>
        <v>0</v>
      </c>
      <c r="D121" s="14" t="n">
        <f aca="false">C121*$B$6</f>
        <v>0</v>
      </c>
      <c r="E121" s="14" t="n">
        <f aca="false">MAX(0,MIN($B$8*(1+$B$9)^(A121-1),C121+D121))</f>
        <v>0</v>
      </c>
      <c r="F121" s="14" t="n">
        <f aca="false">C121+D121-E121</f>
        <v>0</v>
      </c>
    </row>
  </sheetData>
  <conditionalFormatting sqref="A22:F121">
    <cfRule type="expression" priority="2" aboveAverage="0" equalAverage="0" bottom="0" percent="0" rank="0" text="" dxfId="0">
      <formula>$A22&lt;=$B$7</formula>
    </cfRule>
    <cfRule type="expression" priority="3" aboveAverage="0" equalAverage="0" bottom="0" percent="0" rank="0" text="" dxfId="1">
      <formula>AND($C22&lt;=0,$A22&gt;1)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2026-10-10T14:17:38Z</dcterms:created>
  <dc:creator>openpyxl</dc:creator>
  <dc:description/>
  <dc:language>en-US</dc:language>
  <cp:lastModifiedBy/>
  <dcterms:modified xsi:type="dcterms:W3CDTF">2026-10-10T10:17:41Z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